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ahak.sharepoint.com/sites/Helix/Gedeelde documenten/BTO Robbenoord 40096A/1. Algemeen/1.2. Projectbeheersing/1.2.6 Risicomanagement/"/>
    </mc:Choice>
  </mc:AlternateContent>
  <xr:revisionPtr revIDLastSave="98" documentId="8_{7EB66F16-E157-4F57-9AD6-B5AD896D9096}" xr6:coauthVersionLast="47" xr6:coauthVersionMax="47" xr10:uidLastSave="{EC6C1F98-CBD1-4AF8-8B2F-A8F1371581CF}"/>
  <bookViews>
    <workbookView xWindow="22932" yWindow="-9264" windowWidth="30936" windowHeight="16776" tabRatio="500" xr2:uid="{00000000-000D-0000-FFFF-FFFF00000000}"/>
  </bookViews>
  <sheets>
    <sheet name="RISICOREGISTER" sheetId="1" r:id="rId1"/>
    <sheet name="KWANTIFICEERTABELLEN" sheetId="2" r:id="rId2"/>
    <sheet name="LIJSTEN" sheetId="3" r:id="rId3"/>
    <sheet name="UITLEG" sheetId="4" r:id="rId4"/>
  </sheets>
  <definedNames>
    <definedName name="_xlnm.Print_Area" localSheetId="0">RISICOREGISTER!$B$10:$AI$12</definedName>
    <definedName name="_xlnm.Print_Titles" localSheetId="0">RISICOREGISTER!$10:$11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J110" i="1" l="1"/>
  <c r="AH110" i="1"/>
  <c r="AG110" i="1"/>
  <c r="AF110" i="1"/>
  <c r="R110" i="1"/>
  <c r="AJ112" i="1"/>
  <c r="AH112" i="1"/>
  <c r="AG112" i="1"/>
  <c r="AF112" i="1"/>
  <c r="AJ78" i="1"/>
  <c r="AH78" i="1"/>
  <c r="AG78" i="1"/>
  <c r="AF78" i="1"/>
  <c r="S78" i="1"/>
  <c r="U78" i="1" s="1"/>
  <c r="R78" i="1"/>
  <c r="AJ83" i="1"/>
  <c r="AH83" i="1"/>
  <c r="AG83" i="1"/>
  <c r="AI83" i="1" s="1"/>
  <c r="AF83" i="1"/>
  <c r="S83" i="1"/>
  <c r="U83" i="1" s="1"/>
  <c r="R83" i="1"/>
  <c r="AJ77" i="1"/>
  <c r="AH77" i="1"/>
  <c r="AG77" i="1"/>
  <c r="AF77" i="1"/>
  <c r="S77" i="1"/>
  <c r="U77" i="1" s="1"/>
  <c r="R77" i="1"/>
  <c r="AJ69" i="1"/>
  <c r="AH69" i="1"/>
  <c r="AG69" i="1"/>
  <c r="AF69" i="1"/>
  <c r="S69" i="1"/>
  <c r="U69" i="1" s="1"/>
  <c r="R69" i="1"/>
  <c r="AJ74" i="1"/>
  <c r="AH74" i="1"/>
  <c r="AG74" i="1"/>
  <c r="AF74" i="1"/>
  <c r="S74" i="1"/>
  <c r="U74" i="1" s="1"/>
  <c r="R74" i="1"/>
  <c r="AJ96" i="1"/>
  <c r="AH96" i="1"/>
  <c r="AG96" i="1"/>
  <c r="AF96" i="1"/>
  <c r="S96" i="1"/>
  <c r="U96" i="1" s="1"/>
  <c r="R96" i="1"/>
  <c r="AJ58" i="1"/>
  <c r="AH58" i="1"/>
  <c r="AG58" i="1"/>
  <c r="AI58" i="1" s="1"/>
  <c r="AF58" i="1"/>
  <c r="S58" i="1"/>
  <c r="U58" i="1" s="1"/>
  <c r="R58" i="1"/>
  <c r="AJ54" i="1"/>
  <c r="AH54" i="1"/>
  <c r="AG54" i="1"/>
  <c r="AF54" i="1"/>
  <c r="R54" i="1"/>
  <c r="AJ51" i="1"/>
  <c r="AH51" i="1"/>
  <c r="AG51" i="1"/>
  <c r="AF51" i="1"/>
  <c r="R51" i="1"/>
  <c r="AJ48" i="1"/>
  <c r="AH48" i="1"/>
  <c r="AG48" i="1"/>
  <c r="AF48" i="1"/>
  <c r="R48" i="1"/>
  <c r="AJ45" i="1"/>
  <c r="AH45" i="1"/>
  <c r="AG45" i="1"/>
  <c r="AF45" i="1"/>
  <c r="R45" i="1"/>
  <c r="AJ44" i="1"/>
  <c r="AH44" i="1"/>
  <c r="AG44" i="1"/>
  <c r="AF44" i="1"/>
  <c r="R44" i="1"/>
  <c r="AJ43" i="1"/>
  <c r="AH43" i="1"/>
  <c r="AG43" i="1"/>
  <c r="AF43" i="1"/>
  <c r="R43" i="1"/>
  <c r="AJ42" i="1"/>
  <c r="AH42" i="1"/>
  <c r="AG42" i="1"/>
  <c r="AF42" i="1"/>
  <c r="R42" i="1"/>
  <c r="AJ39" i="1"/>
  <c r="AH39" i="1"/>
  <c r="AG39" i="1"/>
  <c r="AF39" i="1"/>
  <c r="R39" i="1"/>
  <c r="AJ37" i="1"/>
  <c r="AH37" i="1"/>
  <c r="AG37" i="1"/>
  <c r="AF37" i="1"/>
  <c r="R37" i="1"/>
  <c r="AJ36" i="1"/>
  <c r="AH36" i="1"/>
  <c r="AG36" i="1"/>
  <c r="AF36" i="1"/>
  <c r="R36" i="1"/>
  <c r="AJ34" i="1"/>
  <c r="AH34" i="1"/>
  <c r="AG34" i="1"/>
  <c r="AF34" i="1"/>
  <c r="R34" i="1"/>
  <c r="AJ33" i="1"/>
  <c r="AH33" i="1"/>
  <c r="AG33" i="1"/>
  <c r="AF33" i="1"/>
  <c r="R33" i="1"/>
  <c r="AJ109" i="1"/>
  <c r="AH109" i="1"/>
  <c r="AG109" i="1"/>
  <c r="AI109" i="1" s="1"/>
  <c r="AF109" i="1"/>
  <c r="R109" i="1"/>
  <c r="AJ27" i="1"/>
  <c r="AH27" i="1"/>
  <c r="AG27" i="1"/>
  <c r="AF27" i="1"/>
  <c r="R27" i="1"/>
  <c r="AJ26" i="1"/>
  <c r="AH26" i="1"/>
  <c r="AG26" i="1"/>
  <c r="AF26" i="1"/>
  <c r="R26" i="1"/>
  <c r="AJ25" i="1"/>
  <c r="AH25" i="1"/>
  <c r="AG25" i="1"/>
  <c r="AF25" i="1"/>
  <c r="R25" i="1"/>
  <c r="AJ24" i="1"/>
  <c r="AH24" i="1"/>
  <c r="AG24" i="1"/>
  <c r="AF24" i="1"/>
  <c r="R24" i="1"/>
  <c r="AJ23" i="1"/>
  <c r="AH23" i="1"/>
  <c r="AG23" i="1"/>
  <c r="AF23" i="1"/>
  <c r="R23" i="1"/>
  <c r="AJ22" i="1"/>
  <c r="AH22" i="1"/>
  <c r="AG22" i="1"/>
  <c r="AF22" i="1"/>
  <c r="R22" i="1"/>
  <c r="AJ21" i="1"/>
  <c r="AH21" i="1"/>
  <c r="AG21" i="1"/>
  <c r="AF21" i="1"/>
  <c r="R21" i="1"/>
  <c r="AJ20" i="1"/>
  <c r="AH20" i="1"/>
  <c r="AG20" i="1"/>
  <c r="AF20" i="1"/>
  <c r="R20" i="1"/>
  <c r="AJ18" i="1"/>
  <c r="AH18" i="1"/>
  <c r="AG18" i="1"/>
  <c r="AF18" i="1"/>
  <c r="R18" i="1"/>
  <c r="AJ17" i="1"/>
  <c r="AH17" i="1"/>
  <c r="AG17" i="1"/>
  <c r="AF17" i="1"/>
  <c r="R17" i="1"/>
  <c r="AJ108" i="1"/>
  <c r="AH108" i="1"/>
  <c r="AG108" i="1"/>
  <c r="AF108" i="1"/>
  <c r="R108" i="1"/>
  <c r="AJ105" i="1"/>
  <c r="AH105" i="1"/>
  <c r="AG105" i="1"/>
  <c r="AF105" i="1"/>
  <c r="R105" i="1"/>
  <c r="AJ104" i="1"/>
  <c r="AH104" i="1"/>
  <c r="AG104" i="1"/>
  <c r="AF104" i="1"/>
  <c r="R104" i="1"/>
  <c r="AJ103" i="1"/>
  <c r="AH103" i="1"/>
  <c r="AG103" i="1"/>
  <c r="AF103" i="1"/>
  <c r="S103" i="1"/>
  <c r="R103" i="1"/>
  <c r="AJ29" i="1"/>
  <c r="AH29" i="1"/>
  <c r="AG29" i="1"/>
  <c r="AF29" i="1"/>
  <c r="R29" i="1"/>
  <c r="AJ101" i="1"/>
  <c r="AH101" i="1"/>
  <c r="AG101" i="1"/>
  <c r="AF101" i="1"/>
  <c r="S101" i="1"/>
  <c r="R101" i="1"/>
  <c r="AJ100" i="1"/>
  <c r="AH100" i="1"/>
  <c r="AG100" i="1"/>
  <c r="AF100" i="1"/>
  <c r="R100" i="1"/>
  <c r="AJ99" i="1"/>
  <c r="AH99" i="1"/>
  <c r="AG99" i="1"/>
  <c r="AF99" i="1"/>
  <c r="S99" i="1"/>
  <c r="R99" i="1"/>
  <c r="AJ98" i="1"/>
  <c r="AH98" i="1"/>
  <c r="AG98" i="1"/>
  <c r="AF98" i="1"/>
  <c r="S98" i="1"/>
  <c r="R98" i="1"/>
  <c r="AJ97" i="1"/>
  <c r="AH97" i="1"/>
  <c r="AG97" i="1"/>
  <c r="AF97" i="1"/>
  <c r="R97" i="1"/>
  <c r="AJ84" i="1"/>
  <c r="AH84" i="1"/>
  <c r="AG84" i="1"/>
  <c r="AF84" i="1"/>
  <c r="R84" i="1"/>
  <c r="AJ95" i="1"/>
  <c r="AH95" i="1"/>
  <c r="AG95" i="1"/>
  <c r="AF95" i="1"/>
  <c r="S95" i="1"/>
  <c r="R95" i="1"/>
  <c r="AJ93" i="1"/>
  <c r="AH93" i="1"/>
  <c r="AG93" i="1"/>
  <c r="AF93" i="1"/>
  <c r="R93" i="1"/>
  <c r="AJ92" i="1"/>
  <c r="AH92" i="1"/>
  <c r="AG92" i="1"/>
  <c r="AF92" i="1"/>
  <c r="S92" i="1"/>
  <c r="R92" i="1"/>
  <c r="AJ81" i="1"/>
  <c r="AH81" i="1"/>
  <c r="AG81" i="1"/>
  <c r="AF81" i="1"/>
  <c r="R81" i="1"/>
  <c r="AJ91" i="1"/>
  <c r="AH91" i="1"/>
  <c r="AG91" i="1"/>
  <c r="AF91" i="1"/>
  <c r="R91" i="1"/>
  <c r="AJ90" i="1"/>
  <c r="AH90" i="1"/>
  <c r="AG90" i="1"/>
  <c r="AF90" i="1"/>
  <c r="S90" i="1"/>
  <c r="R90" i="1"/>
  <c r="AJ89" i="1"/>
  <c r="AH89" i="1"/>
  <c r="AG89" i="1"/>
  <c r="AF89" i="1"/>
  <c r="S89" i="1"/>
  <c r="R89" i="1"/>
  <c r="AJ88" i="1"/>
  <c r="AH88" i="1"/>
  <c r="AG88" i="1"/>
  <c r="AF88" i="1"/>
  <c r="S88" i="1"/>
  <c r="R88" i="1"/>
  <c r="AJ87" i="1"/>
  <c r="AH87" i="1"/>
  <c r="AG87" i="1"/>
  <c r="AF87" i="1"/>
  <c r="S87" i="1"/>
  <c r="R87" i="1"/>
  <c r="AJ85" i="1"/>
  <c r="AH85" i="1"/>
  <c r="AG85" i="1"/>
  <c r="AF85" i="1"/>
  <c r="R85" i="1"/>
  <c r="AJ71" i="1"/>
  <c r="AH71" i="1"/>
  <c r="AG71" i="1"/>
  <c r="AF71" i="1"/>
  <c r="R71" i="1"/>
  <c r="AJ28" i="1"/>
  <c r="AH28" i="1"/>
  <c r="AG28" i="1"/>
  <c r="AF28" i="1"/>
  <c r="S28" i="1"/>
  <c r="R28" i="1"/>
  <c r="AJ60" i="1"/>
  <c r="AH60" i="1"/>
  <c r="AG60" i="1"/>
  <c r="AF60" i="1"/>
  <c r="S60" i="1"/>
  <c r="R60" i="1"/>
  <c r="AJ94" i="1"/>
  <c r="AH94" i="1"/>
  <c r="AG94" i="1"/>
  <c r="AF94" i="1"/>
  <c r="S94" i="1"/>
  <c r="R94" i="1"/>
  <c r="AJ111" i="1"/>
  <c r="AH111" i="1"/>
  <c r="AG111" i="1"/>
  <c r="AF111" i="1"/>
  <c r="S111" i="1"/>
  <c r="R111" i="1"/>
  <c r="AJ107" i="1"/>
  <c r="AH107" i="1"/>
  <c r="AG107" i="1"/>
  <c r="AF107" i="1"/>
  <c r="S107" i="1"/>
  <c r="R107" i="1"/>
  <c r="AJ106" i="1"/>
  <c r="AH106" i="1"/>
  <c r="AG106" i="1"/>
  <c r="AF106" i="1"/>
  <c r="S106" i="1"/>
  <c r="R106" i="1"/>
  <c r="AJ82" i="1"/>
  <c r="AH82" i="1"/>
  <c r="AG82" i="1"/>
  <c r="AF82" i="1"/>
  <c r="S82" i="1"/>
  <c r="R82" i="1"/>
  <c r="AJ80" i="1"/>
  <c r="AH80" i="1"/>
  <c r="AG80" i="1"/>
  <c r="AF80" i="1"/>
  <c r="S80" i="1"/>
  <c r="R80" i="1"/>
  <c r="AJ79" i="1"/>
  <c r="AH79" i="1"/>
  <c r="AG79" i="1"/>
  <c r="AF79" i="1"/>
  <c r="S79" i="1"/>
  <c r="R79" i="1"/>
  <c r="AJ35" i="1"/>
  <c r="AH35" i="1"/>
  <c r="AG35" i="1"/>
  <c r="AF35" i="1"/>
  <c r="R35" i="1"/>
  <c r="AJ76" i="1"/>
  <c r="AH76" i="1"/>
  <c r="AG76" i="1"/>
  <c r="AF76" i="1"/>
  <c r="S76" i="1"/>
  <c r="R76" i="1"/>
  <c r="AJ75" i="1"/>
  <c r="AH75" i="1"/>
  <c r="AG75" i="1"/>
  <c r="AF75" i="1"/>
  <c r="R75" i="1"/>
  <c r="AJ70" i="1"/>
  <c r="AH70" i="1"/>
  <c r="AG70" i="1"/>
  <c r="AF70" i="1"/>
  <c r="R70" i="1"/>
  <c r="AJ73" i="1"/>
  <c r="AH73" i="1"/>
  <c r="AG73" i="1"/>
  <c r="AF73" i="1"/>
  <c r="R73" i="1"/>
  <c r="AJ68" i="1"/>
  <c r="AH68" i="1"/>
  <c r="AG68" i="1"/>
  <c r="AF68" i="1"/>
  <c r="S68" i="1"/>
  <c r="R68" i="1"/>
  <c r="AJ67" i="1"/>
  <c r="AH67" i="1"/>
  <c r="AG67" i="1"/>
  <c r="AF67" i="1"/>
  <c r="S67" i="1"/>
  <c r="R67" i="1"/>
  <c r="AJ12" i="1"/>
  <c r="AH12" i="1"/>
  <c r="AG12" i="1"/>
  <c r="AF12" i="1"/>
  <c r="T12" i="1"/>
  <c r="S12" i="1"/>
  <c r="R12" i="1"/>
  <c r="AJ64" i="1"/>
  <c r="AH64" i="1"/>
  <c r="AG64" i="1"/>
  <c r="AF64" i="1"/>
  <c r="S64" i="1"/>
  <c r="R64" i="1"/>
  <c r="AJ63" i="1"/>
  <c r="AH63" i="1"/>
  <c r="AG63" i="1"/>
  <c r="AF63" i="1"/>
  <c r="S63" i="1"/>
  <c r="R63" i="1"/>
  <c r="AJ59" i="1"/>
  <c r="AH59" i="1"/>
  <c r="AG59" i="1"/>
  <c r="AF59" i="1"/>
  <c r="R59" i="1"/>
  <c r="AJ72" i="1"/>
  <c r="AH72" i="1"/>
  <c r="AG72" i="1"/>
  <c r="AF72" i="1"/>
  <c r="R72" i="1"/>
  <c r="AJ16" i="1"/>
  <c r="AH16" i="1"/>
  <c r="AG16" i="1"/>
  <c r="AF16" i="1"/>
  <c r="R16" i="1"/>
  <c r="AJ66" i="1"/>
  <c r="AH66" i="1"/>
  <c r="AG66" i="1"/>
  <c r="AF66" i="1"/>
  <c r="R66" i="1"/>
  <c r="AJ38" i="1"/>
  <c r="AH38" i="1"/>
  <c r="AG38" i="1"/>
  <c r="AF38" i="1"/>
  <c r="R38" i="1"/>
  <c r="AJ56" i="1"/>
  <c r="AH56" i="1"/>
  <c r="AG56" i="1"/>
  <c r="AF56" i="1"/>
  <c r="R56" i="1"/>
  <c r="AJ55" i="1"/>
  <c r="AH55" i="1"/>
  <c r="AG55" i="1"/>
  <c r="AF55" i="1"/>
  <c r="R55" i="1"/>
  <c r="AJ53" i="1"/>
  <c r="AH53" i="1"/>
  <c r="AG53" i="1"/>
  <c r="AF53" i="1"/>
  <c r="R53" i="1"/>
  <c r="AJ52" i="1"/>
  <c r="AH52" i="1"/>
  <c r="AG52" i="1"/>
  <c r="AF52" i="1"/>
  <c r="R52" i="1"/>
  <c r="AJ50" i="1"/>
  <c r="AH50" i="1"/>
  <c r="AG50" i="1"/>
  <c r="AF50" i="1"/>
  <c r="R50" i="1"/>
  <c r="AJ49" i="1"/>
  <c r="AH49" i="1"/>
  <c r="AG49" i="1"/>
  <c r="AF49" i="1"/>
  <c r="R49" i="1"/>
  <c r="AJ47" i="1"/>
  <c r="AH47" i="1"/>
  <c r="AG47" i="1"/>
  <c r="AF47" i="1"/>
  <c r="R47" i="1"/>
  <c r="AJ41" i="1"/>
  <c r="AH41" i="1"/>
  <c r="AG41" i="1"/>
  <c r="AF41" i="1"/>
  <c r="R41" i="1"/>
  <c r="AJ14" i="1"/>
  <c r="AH14" i="1"/>
  <c r="AG14" i="1"/>
  <c r="AF14" i="1"/>
  <c r="R14" i="1"/>
  <c r="AJ65" i="1"/>
  <c r="AH65" i="1"/>
  <c r="AG65" i="1"/>
  <c r="AF65" i="1"/>
  <c r="R65" i="1"/>
  <c r="AJ15" i="1"/>
  <c r="AH15" i="1"/>
  <c r="AG15" i="1"/>
  <c r="AF15" i="1"/>
  <c r="R15" i="1"/>
  <c r="AJ62" i="1"/>
  <c r="AH62" i="1"/>
  <c r="AG62" i="1"/>
  <c r="AF62" i="1"/>
  <c r="R62" i="1"/>
  <c r="AJ102" i="1"/>
  <c r="AH102" i="1"/>
  <c r="AG102" i="1"/>
  <c r="AF102" i="1"/>
  <c r="S102" i="1"/>
  <c r="R102" i="1"/>
  <c r="AJ61" i="1"/>
  <c r="AH61" i="1"/>
  <c r="AG61" i="1"/>
  <c r="AF61" i="1"/>
  <c r="R61" i="1"/>
  <c r="AJ57" i="1"/>
  <c r="AH57" i="1"/>
  <c r="AG57" i="1"/>
  <c r="AF57" i="1"/>
  <c r="S57" i="1"/>
  <c r="R57" i="1"/>
  <c r="AJ40" i="1"/>
  <c r="AH40" i="1"/>
  <c r="AG40" i="1"/>
  <c r="AF40" i="1"/>
  <c r="S40" i="1"/>
  <c r="R40" i="1"/>
  <c r="AJ86" i="1"/>
  <c r="AH86" i="1"/>
  <c r="AG86" i="1"/>
  <c r="AF86" i="1"/>
  <c r="S86" i="1"/>
  <c r="R86" i="1"/>
  <c r="AJ32" i="1"/>
  <c r="AH32" i="1"/>
  <c r="AG32" i="1"/>
  <c r="AF32" i="1"/>
  <c r="S32" i="1"/>
  <c r="R32" i="1"/>
  <c r="AJ31" i="1"/>
  <c r="AH31" i="1"/>
  <c r="AG31" i="1"/>
  <c r="AF31" i="1"/>
  <c r="R31" i="1"/>
  <c r="AJ30" i="1"/>
  <c r="AH30" i="1"/>
  <c r="AG30" i="1"/>
  <c r="AF30" i="1"/>
  <c r="S30" i="1"/>
  <c r="R30" i="1"/>
  <c r="AJ19" i="1"/>
  <c r="AH19" i="1"/>
  <c r="AG19" i="1"/>
  <c r="AF19" i="1"/>
  <c r="R19" i="1"/>
  <c r="AJ46" i="1"/>
  <c r="AH46" i="1"/>
  <c r="AG46" i="1"/>
  <c r="AF46" i="1"/>
  <c r="S46" i="1"/>
  <c r="R46" i="1"/>
  <c r="AJ13" i="1"/>
  <c r="AH13" i="1"/>
  <c r="AG13" i="1"/>
  <c r="AF13" i="1"/>
  <c r="F3" i="1"/>
  <c r="AI78" i="1" l="1"/>
  <c r="AI32" i="1"/>
  <c r="AI64" i="1"/>
  <c r="AI17" i="1"/>
  <c r="AI105" i="1"/>
  <c r="AI72" i="1"/>
  <c r="AI84" i="1"/>
  <c r="AI101" i="1"/>
  <c r="AI45" i="1"/>
  <c r="AI90" i="1"/>
  <c r="AI110" i="1"/>
  <c r="AI24" i="1"/>
  <c r="AI48" i="1"/>
  <c r="AI74" i="1"/>
  <c r="AI66" i="1"/>
  <c r="AI43" i="1"/>
  <c r="AI77" i="1"/>
  <c r="AI100" i="1"/>
  <c r="AI63" i="1"/>
  <c r="AI40" i="1"/>
  <c r="AI67" i="1"/>
  <c r="AI47" i="1"/>
  <c r="AI15" i="1"/>
  <c r="AI57" i="1"/>
  <c r="AI71" i="1"/>
  <c r="AI51" i="1"/>
  <c r="AI52" i="1"/>
  <c r="AI69" i="1"/>
  <c r="AI53" i="1"/>
  <c r="AI92" i="1"/>
  <c r="AI36" i="1"/>
  <c r="AI33" i="1"/>
  <c r="AI99" i="1"/>
  <c r="AI80" i="1"/>
  <c r="AI28" i="1"/>
  <c r="AI87" i="1"/>
  <c r="AI81" i="1"/>
  <c r="AI27" i="1"/>
  <c r="AI112" i="1"/>
  <c r="AI54" i="1"/>
  <c r="AI86" i="1"/>
  <c r="AI31" i="1"/>
  <c r="AI14" i="1"/>
  <c r="AI68" i="1"/>
  <c r="AI107" i="1"/>
  <c r="AI95" i="1"/>
  <c r="AI98" i="1"/>
  <c r="AI108" i="1"/>
  <c r="AI19" i="1"/>
  <c r="AI38" i="1"/>
  <c r="AI20" i="1"/>
  <c r="AI42" i="1"/>
  <c r="AI96" i="1"/>
  <c r="AI46" i="1"/>
  <c r="AI102" i="1"/>
  <c r="AI50" i="1"/>
  <c r="AI73" i="1"/>
  <c r="AI79" i="1"/>
  <c r="AI60" i="1"/>
  <c r="AI88" i="1"/>
  <c r="AI18" i="1"/>
  <c r="AI34" i="1"/>
  <c r="AI65" i="1"/>
  <c r="AI55" i="1"/>
  <c r="AI76" i="1"/>
  <c r="AI111" i="1"/>
  <c r="AI85" i="1"/>
  <c r="AI103" i="1"/>
  <c r="AI22" i="1"/>
  <c r="AI25" i="1"/>
  <c r="AI39" i="1"/>
  <c r="AI30" i="1"/>
  <c r="AI12" i="1"/>
  <c r="AI91" i="1"/>
  <c r="F6" i="1" s="1" a="1"/>
  <c r="AI44" i="1"/>
  <c r="AI62" i="1"/>
  <c r="AI70" i="1"/>
  <c r="AI106" i="1"/>
  <c r="AI59" i="1"/>
  <c r="AI89" i="1"/>
  <c r="AI93" i="1"/>
  <c r="AI23" i="1"/>
  <c r="AI13" i="1"/>
  <c r="AI61" i="1"/>
  <c r="AI56" i="1"/>
  <c r="AI35" i="1"/>
  <c r="AI94" i="1"/>
  <c r="AI104" i="1"/>
  <c r="AI26" i="1"/>
  <c r="AI41" i="1"/>
  <c r="AI49" i="1"/>
  <c r="AI16" i="1"/>
  <c r="U12" i="1"/>
  <c r="AI97" i="1"/>
  <c r="AI82" i="1"/>
  <c r="AI75" i="1"/>
  <c r="AI29" i="1"/>
  <c r="AI21" i="1"/>
  <c r="AI37" i="1"/>
  <c r="F7" i="1" a="1"/>
  <c r="F6" i="1" l="1"/>
  <c r="F7" i="1"/>
  <c r="F8" i="1" l="1"/>
</calcChain>
</file>

<file path=xl/sharedStrings.xml><?xml version="1.0" encoding="utf-8"?>
<sst xmlns="http://schemas.openxmlformats.org/spreadsheetml/2006/main" count="1184" uniqueCount="595">
  <si>
    <t>Project</t>
  </si>
  <si>
    <t>Robbenoord Wieringerwerf</t>
  </si>
  <si>
    <t>TSB (conform BTO)</t>
  </si>
  <si>
    <t>Projectgrootte (zie tabel)</t>
  </si>
  <si>
    <t>Opsteller</t>
  </si>
  <si>
    <t>Wouter Busstra</t>
  </si>
  <si>
    <t>Datum laatste actualisatie</t>
  </si>
  <si>
    <t>Bouwteam</t>
  </si>
  <si>
    <t>Uitvoering</t>
  </si>
  <si>
    <t>Totaal restrisico</t>
  </si>
  <si>
    <t>OMSCHRIJVING</t>
  </si>
  <si>
    <t>KWANTIFICERING</t>
  </si>
  <si>
    <t>FINANCIËLE KWANTIFICERING</t>
  </si>
  <si>
    <t>BEHEERSING</t>
  </si>
  <si>
    <t>RESTRISICO</t>
  </si>
  <si>
    <t>KANS</t>
  </si>
  <si>
    <t>TIJDSIMPACT</t>
  </si>
  <si>
    <t>ID</t>
  </si>
  <si>
    <t>Ongewenste gebeurtenis</t>
  </si>
  <si>
    <t>Oorzaak(en)</t>
  </si>
  <si>
    <t>Gevolg(en)</t>
  </si>
  <si>
    <t>Opmerking risico</t>
  </si>
  <si>
    <t>Status 
risico</t>
  </si>
  <si>
    <t>Risico-eigenaar</t>
  </si>
  <si>
    <t>Allocatie</t>
  </si>
  <si>
    <t>Fase</t>
  </si>
  <si>
    <t>Kans</t>
  </si>
  <si>
    <t>Tijd</t>
  </si>
  <si>
    <t>Geld</t>
  </si>
  <si>
    <t>Kwaliteit</t>
  </si>
  <si>
    <t>Veiligheid</t>
  </si>
  <si>
    <t>Omgeving</t>
  </si>
  <si>
    <t>Risico</t>
  </si>
  <si>
    <t xml:space="preserve">Kans </t>
  </si>
  <si>
    <t xml:space="preserve">Geld </t>
  </si>
  <si>
    <t>Initieel risicio bedrag</t>
  </si>
  <si>
    <t xml:space="preserve">Beheersmaatregel
</t>
  </si>
  <si>
    <t>Actiehouder</t>
  </si>
  <si>
    <t>Status</t>
  </si>
  <si>
    <t>Opmerkingen</t>
  </si>
  <si>
    <t xml:space="preserve">Kans  </t>
  </si>
  <si>
    <t xml:space="preserve">Tijd  </t>
  </si>
  <si>
    <t xml:space="preserve">Geld  </t>
  </si>
  <si>
    <t xml:space="preserve">Kwaliteit  </t>
  </si>
  <si>
    <t xml:space="preserve">Veiligheid  </t>
  </si>
  <si>
    <t xml:space="preserve">Omgeving  </t>
  </si>
  <si>
    <t xml:space="preserve">Risico </t>
  </si>
  <si>
    <t xml:space="preserve">Kans   </t>
  </si>
  <si>
    <t>Rekenwaarde kosten</t>
  </si>
  <si>
    <t>Restrisico bedrag</t>
  </si>
  <si>
    <t>Tijdsimpact</t>
  </si>
  <si>
    <t>Schade aan particulieren percelen</t>
  </si>
  <si>
    <t>1. Onzorgvuldige uitvoering
2. Werkafspraken niet nakomen</t>
  </si>
  <si>
    <t>1. Perceeleigenaar ontevreden
2. Claims bij Liander
3. Imagoschade
4. Herstelwerkzaamheden</t>
  </si>
  <si>
    <t>Vigerend</t>
  </si>
  <si>
    <t>A.Hak</t>
  </si>
  <si>
    <t>1. Warm contact houden met bevoegd gezag</t>
  </si>
  <si>
    <t>1. Werken conform afspraken
2. Aantonen werken conform afspraken
3. Begin- en eindopname
4. Adequate klachtenafhandeling</t>
  </si>
  <si>
    <t>Open</t>
  </si>
  <si>
    <t>De grondaankoop voor MSR-2 is niet tijdig verkregen waardoor het station niet kan worden geplaatst</t>
  </si>
  <si>
    <t>1. ZRO proces niet goed doorlopen</t>
  </si>
  <si>
    <t>1. Niet kunnen plaatsen MSR
2. Net niet overnemen
3. IBN datum verschuift</t>
  </si>
  <si>
    <t>Vervallen</t>
  </si>
  <si>
    <t>Isabel Gheza</t>
  </si>
  <si>
    <t>Liander</t>
  </si>
  <si>
    <t xml:space="preserve">1. Alternatief uitwerken indien perceeleigenaar niet tekent. (TOMS)
2. Tijdig in gesprek gaan met de eigenaar
</t>
  </si>
  <si>
    <t>1. Reimer Lap</t>
  </si>
  <si>
    <t>1. Gereed</t>
  </si>
  <si>
    <t>Vergunning voor 2 MSR's (schelpenbolweg 15 en 11) wordt niet (tijdig) verleend door Gemeente Hollands Kroon</t>
  </si>
  <si>
    <t>1. Onvoldoende capaciteit bij de gemeente voor tijdige vergunningverlening;
2. Indieningseisen onduidelijk of de gemeente stelt onredelijke eisen;
3. Gemeente neemt een aanvullende beslistermijn op, of er worden bezwaarproceduresprocedures gestart.</t>
  </si>
  <si>
    <t>1. Werkzaamheden kunnen niet tijdig worden gestart, waardoor de IBN datum verschuift;
2. Extra stand-bykosten voor personeel, materieel en de projectorganisatie;
3. Mogelijke herindieningsronde bij afkeur, met extra engineering- en proceskosten.</t>
  </si>
  <si>
    <t>1. Warm contact houden met de Gemeente</t>
  </si>
  <si>
    <t>1. Isabel Gheza</t>
  </si>
  <si>
    <t>Er wordt bodemvervuiling aangetroffen (anders dan in de onderzoeken)</t>
  </si>
  <si>
    <t>1. Onvolledig of beperkt bodemonderzoek (steekproefsgewijs, andere dieptes of zones dan het werkgebied);
2. Historische activiteiten of calamiteiten die niet bekend of gedocumenteerd zijn;
3. Afwijkingen in de uitvoering (dieper graven of grotere verstoring dan onderzocht).</t>
  </si>
  <si>
    <t>1. Stillegging van werkzaamheden totdat aard en omvang van de vervuiling zijn vastgesteld;
2. Extra kosten en vertraging door aanvullend onderzoek, sanering of aangepaste uitvoering;
3. Gezondheids- en milieurisico's bij blootstelling van personeel of verspreiding van de verontreiniging.</t>
  </si>
  <si>
    <t>Voorstel</t>
  </si>
  <si>
    <t>Onno Cavalini</t>
  </si>
  <si>
    <t>1. Bodemonderzoek kritisch toetsen op representativiteit voor het volledige werkgebied en de werkdiepte;
2. Bodemrisico's expliciet opnemen in werkplannen en V&amp;G-plan;
3. Instructie aan uitvoerend personeel over herkennen en melden van verdachte bodem.</t>
  </si>
  <si>
    <t>Levering van MSR (14 stuks nieuw en 2 stuks vervangen) vindt niet conform planning plaats.</t>
  </si>
  <si>
    <t>1. Kwaliteit is door de leverancier niet geborgd);
2. Door stijging van de vraag naar MSR's is de leveringscapaciteit bij de leverancier onvoldoende;
3. Langere lead-times door schaarste aan componenten of productieproblemen bij de fabrikant.</t>
  </si>
  <si>
    <t>1. Project kan niet conform planning worden afgerond doordat stations ontbreken;
2. IBN datum wordt niet gehaald, met risico op contractuele boetes;
3. Uitvoering kan niet starten of wordt stilgelegd, met extra kosten als gevolg.</t>
  </si>
  <si>
    <t>Beheerst</t>
  </si>
  <si>
    <t>Aldo de Bock</t>
  </si>
  <si>
    <t>1. Elke week met inkoop dit onderwerp bespreken
2. Bij start project (nadat technische details bekend zijn) MSR bestellen
3. Bij een andere leverancier MSR inkopen (AKA is de leverancier)</t>
  </si>
  <si>
    <t>1. TM
2. TM
3. TM</t>
  </si>
  <si>
    <t>Overlast werkzaamheden voor omwonenden/perceeleigenaren tijdens de uitvoering (10 kV)</t>
  </si>
  <si>
    <t>1. Onvoldoende of te late communicatie richting omwonenden over aard, planning en impact van de werkzaamheden;
2. Afwijkingen van eerder gecommuniceerde afspraken of planning, waardoor vertrouwen afneemt;
3. Ervaren hinder (geluid, bereikbaarheid, trillingen) groter dan verwacht door omwonenden.</t>
  </si>
  <si>
    <t>1. Klachten en escalaties richting opdrachtgever, gemeente of bevoegd gezag;
2. Vertraging of tijdelijke stillegging van werkzaamheden door druk vanuit de omgeving;
3. Extra kosten door aanvullende maatregelen, omgevingsafstemming of herplanning.</t>
  </si>
  <si>
    <t>Risico projectoverstijgend en later opnemen in perceelrisicodossier</t>
  </si>
  <si>
    <t xml:space="preserve">1. Zes weken voor start uitvoering omwonenden informeren 
2. In de Bouwapp goed de updates bijhouden
3. OM'er bereikbaar zijn voor vragen </t>
  </si>
  <si>
    <t>1. OM Uitvoering
2. OM Uitvoering</t>
  </si>
  <si>
    <t>1. Moet nog vastgesteld worden  hoe dit ingevuld wordt</t>
  </si>
  <si>
    <t>De MSR wordt niet geplaatst op de locatie zoals de perceeleigenaar verwacht</t>
  </si>
  <si>
    <t>1. Onduidelijkheid over vigerende tekeningen
2. Miscommunicatie tussen omgeving - uitvoering - techniek</t>
  </si>
  <si>
    <t>1. Onvrede, tegenwerken van perceeleigenaar
2. Mogelijke stagnatie
3. Herplaatsen station</t>
  </si>
  <si>
    <t>Actueel</t>
  </si>
  <si>
    <t>1. Ruim voor plaatsing MSR piketpaaltjes slaan
2. Bewoners informeren over het feit dat de piketpaaltjes de toekomstige locatie van de MSR representeren</t>
  </si>
  <si>
    <t>1. Aldo de Bock
2. Joosje Schaap</t>
  </si>
  <si>
    <t>1. Open
2. Open</t>
  </si>
  <si>
    <t>De grondaankoop voor MSR-3 is niet tijdig verkregen waardoor het station niet kan worden geplaatst</t>
  </si>
  <si>
    <t>1. Jurist inschakelen, koerst uitzetten naar gedogen. Er komt nog een finale aanbieding. Alternatieven zijn overwogen, eerste indruk was dat eigenaar ging tekenen maar ziet af van afspraak. Juridische stappen worden in gang gezet
2. Tijdig in gesprek gaan met de eigenaar
3. Alternatieve locatie hebben</t>
  </si>
  <si>
    <t>1. Jarno Sman</t>
  </si>
  <si>
    <t>Alle ZRO's zijn getekend.</t>
  </si>
  <si>
    <t>K&amp;L Liander ef/of derden beschadigen tijdens graafwerkzaamheden</t>
  </si>
  <si>
    <t>1. Onvolledige of onjuiste KLIC-melding of afwijking tussen registratie en werkelijke ligging van kabels;
2. Onvoldoende lokalisatie of voorzichtigheid bij graaf- of boorwerkzaamheden;
3. Afwijkingen van de werkmethode of het ontwerp (bijv. dieper graven of gewijzigd tracé).</t>
  </si>
  <si>
    <t>1. Uitval of verstoring van nutsvoorzieningen (elektra, gas, water, telecom);
2. Veiligheidsrisico's voor personeel en omgeving (bijv. elektrocutie, gaslek);
3. Vertraging en extra kosten door herstelwerk, claims en mogelijke werkstillegging.</t>
  </si>
  <si>
    <t>1. KLIC-melding tijdig en zorgvuldig uitvoeren en analyseren, inclusief controle op actualiteit;
2. Kabels en leidingen in het veld lokaliseren via proefsleuven op kritieke punten;
3. Duidelijke werkinstructies en toezicht bij werkzaamheden nabij kabels en leidingen van derden.</t>
  </si>
  <si>
    <t>ZRO Gerding niet tijdig gereed</t>
  </si>
  <si>
    <t>1. Perceeleigenaar Gerding gaat niet akkoord met de geboden voorwaarden of tracélocatie;
2. ZRO-tekeningen niet tijdig aangeleverd of niet volledig;
3. Beperkte capaciteit bij afdeling Grond &amp; Recht voor tijdige behandeling.</t>
  </si>
  <si>
    <t>1. Werkzaamheden op het perceel Gerding kunnen niet starten;
2. Uitvoeringsplanning moet worden aangepast, met extra kosten;
3. Risico op gedoogprocedure met aanzienlijk langere doorlooptijd.</t>
  </si>
  <si>
    <t>1. Tijdig contact opnemen met perceeleigenaar Gerding en knelpunten in gesprek bespreken;
2. Bij weerstand direct de gedoogprocedure opstarten;
3. Uitvoeringsplanning aanpassen zodat het perceel Gerding als laatste wordt behandeld.</t>
  </si>
  <si>
    <t>Ecologie zorgt voor beperkingen tijdens de uitvoering</t>
  </si>
  <si>
    <t>1. Aanwezigheid van beschermde soorten (rugstreeppad, broedvogels) in of nabij het werkgebied tijdens het uitvoeringsseizoen;
2. Verschuiving van de planning resulteert in werkzaamheden in de actieve of broedperiode;
3. Huidig ecologisch werkprotocol is niet toereikend voor de actuele situatie.</t>
  </si>
  <si>
    <t>1. Beperking of stillegging van werkzaamheden door wettelijke beschermingsregels;
2. Aanpassing van werkmethoden of planning, leidend tot vertraging en extra kosten;
3. Extra kosten voor ecologisch onderzoek, begeleiding en mitigerende maatregelen.</t>
  </si>
  <si>
    <t>Afgetikt bij de eerste</t>
  </si>
  <si>
    <t xml:space="preserve">1. EWP revisie laten opstellen 
2. EWP volgen  </t>
  </si>
  <si>
    <t>ZRO Zijlmans niet tijdig gereed</t>
  </si>
  <si>
    <t>1. Perceeleigenaar Zijlmans gaat niet akkoord met de geboden voorwaarden of tracélocatie;
2. ZRO-tekeningen niet tijdig aangeleverd of niet volledig;
3. Beperkte capaciteit bij afdeling Grond &amp; Recht voor tijdige behandeling.</t>
  </si>
  <si>
    <t>1. Werkzaamheden op het perceel Zijlmans kunnen niet starten;
2. Uitvoeringsplanning moet worden aangepast, met extra kosten;
3. Risico op gedoogprocedure met aanzienlijk langere doorlooptijd.</t>
  </si>
  <si>
    <t>1. Tijdig contact opnemen met perceeleigenaar Zijlmans en knelpunten bespreken;
2. Bij weerstand direct de gedoogprocedure opstarten;
3. Uitvoeringsplanning aanpassen zodat het perceel Zijlmans als laatste wordt behandeld.</t>
  </si>
  <si>
    <t xml:space="preserve">Uit het uit te voeren F&amp;F onderzoek blijken aanvullen maatregelen nodig gedurende de uitvoering voor beschermde soorten aanwezig te zijn. (Met name voor de ruggstreeppad)
</t>
  </si>
  <si>
    <t>1. In de VO-fase een quick scan uitvoeren. 
2. Na quick scan vervolg onderzoek uitvoeren. Hierbij het raakvlak met planing in beeld brengen.
3. Buffer van 50 meter aan beide zijde van het trace meenemen in de F&amp;F onderzoeken. 
4. In overleg met TM maatwerkafspraken maken qua onderzoeksgebied.
5. Bij Movares urgentie benadrukken voor stukken OD (Werkprotocol)</t>
  </si>
  <si>
    <t>1. Isabel Gheza
2. Isabel Gheza
3. Isabel Gheza
4. Isabel Gheza
5. Isabel Gheza</t>
  </si>
  <si>
    <t>1. Gereed
2. Gereed
3. Gereed
4. Gereed
5. Gereed</t>
  </si>
  <si>
    <t>Gedoogprocedures duren langer dan vooraf geschatte termijn</t>
  </si>
  <si>
    <t>1. Langzame of complexe besluitvorming bij perceeleigenaren door juridische, financiële of interne bezwaren;
2. Onvolledige of onduidelijke dossiervorming bij het indienen van de gedoogaanvraag;
3. Onvoldoende afstemming met de planning over realistische doorlooptijden voor gedoogprocedures.</t>
  </si>
  <si>
    <t>1. Vertraging van werkzaamheden doordat percelen niet tijdig beschikbaar zijn;
2. Aanpassing of herschikking van de uitvoeringsplanning, met inefficiënte inzet van personeel en materieel;
3. Extra kosten en druk op de projectdoelstellingen.</t>
  </si>
  <si>
    <t>1. Realistische doorlooptijden voor gedoogprocedures opnemen in de planning, inclusief buffer;
2. Gedoogdossiers zo compleet en tijdig mogelijk indienen om vertraging in de procedure te beperken;
3. Alternatieve uitvoeringsvolgorde voorbereiden zodat percelen zonder gedoogprocedure eerder worden uitgevoerd.</t>
  </si>
  <si>
    <t xml:space="preserve">De ontwerp- en omgevingsproducten worden niet conform planning opgeleverd.
</t>
  </si>
  <si>
    <t>1. Capaciteit engineering op perceel monitoren
2. Locaties voorstellen en bespreken met perceeleigenaren
3. Escaleren naar Job Plas om TM'er aanhaken op het project
4. In overleg met ambtenaar vergunningsaanvraag in delen indienen</t>
  </si>
  <si>
    <t>1. Thomas Snoep
2. Isabel Gheza
3. Thomas Snoep
4. Isabel Gheza</t>
  </si>
  <si>
    <t>1. Continu
2. Gereed
3. Gereed
4. 28-5-2025</t>
  </si>
  <si>
    <t>De grondaankoop voor MSR-8 is niet tijdig verkregen waardoor het station niet kan worden geplaatst</t>
  </si>
  <si>
    <t>1. Perceeleigenaar gaat niet akkoord met de geboden voorwaarden of de locatie van het station;
2. ZRO-proces niet tijdig of niet volledig doorlopen;
3. Beperkte capaciteit bij afdeling Grond &amp; Recht voor tijdige behandeling van het dossier.</t>
  </si>
  <si>
    <t>1. MSR-8 kan niet worden geplaatst op de beoogde locatie, waardoor het net niet kan worden overgenomen;
2. Afhankelijke uitvoeringswerkzaamheden moeten worden uitgesteld;
3. IBN datum verschuift met extra kosten als gevolg.</t>
  </si>
  <si>
    <t>1. Gesprekken lopen bij grond en recht, voorlopig status monitoren of weerstand wordt ervaren gedurende de gesprekken</t>
  </si>
  <si>
    <t>1. 10-12-2025</t>
  </si>
  <si>
    <t>De grondaankoop voor MSR-4 is niet tijdig verkregen waardoor het station niet kan worden geplaatst</t>
  </si>
  <si>
    <t>1. MSR-4 kan niet worden geplaatst, waardoor het net niet tijdig kan worden overgenomen;
2. Uitvoeringsplanning moet worden aangepast, met extra kosten;
3. IBN datum verschuift.</t>
  </si>
  <si>
    <t>1. Afgerond</t>
  </si>
  <si>
    <t>De opstal voor de boring  is niet tijdig verkregen waardoor het station niet kan worden geplaatst parallel aan MSR 7</t>
  </si>
  <si>
    <t>1. Perceeleigenaar gaat niet akkoord met de benodigde opstalrechten voor de boring;
2. Juridische of financiële bezwaren van de eigenaar vertragen het proces;
3. Beperkte capaciteit bij afdeling Grond &amp; Recht.</t>
  </si>
  <si>
    <t>1. De boring parallel aan MSR-7 kan niet tijdig worden uitgevoerd;
2. Plaatsing van het station loopt vertraging op;
3. IBN datum verschuift met extra kosten als gevolg.</t>
  </si>
  <si>
    <t xml:space="preserve">1. Gesprekken lopen bij grond en recht, voorlopig status monitoren of weerstand wordt ervaren gedurende de gesprekken
</t>
  </si>
  <si>
    <t>De grondaankoop voor MSR-7 is niet tijdig verkregen waardoor het station niet kan worden geplaatst</t>
  </si>
  <si>
    <t>1. Perceeleigenaar gaat niet akkoord met de geboden voorwaarden of locatie;
2. ZRO-proces niet tijdig of niet volledig doorlopen;
3. Beperkte capaciteit bij afdeling Grond &amp; Recht.</t>
  </si>
  <si>
    <t>1. MSR-7 kan niet worden geplaatst, waardoor het net niet tijdig kan worden overgenomen;
2. Uitvoeringsplanning moet worden aangepast;
3. IBN datum verschuift.</t>
  </si>
  <si>
    <t>De grondaankoop voor MSR-15 is niet tijdig verkregen waardoor het station niet kan worden geplaatst</t>
  </si>
  <si>
    <t>1. Perceeleigenaar (boswachter) is niet beschikbaar of gaat niet akkoord met de voorgestelde voorwaarden;
2. ZRO-proces niet tijdig of niet volledig doorlopen;
3. Beperkte capaciteit bij afdeling Grond &amp; Recht.</t>
  </si>
  <si>
    <t>1. MSR-15 kan niet worden geplaatst, waardoor het net niet tijdig kan worden overgenomen;
2. Extra overlegrondes zijn noodzakelijk, met extra tijd en kosten;
3. IBN datum verschuift.</t>
  </si>
  <si>
    <t>De grondaankoop voor MSR-14 is niet tijdig verkregen waardoor het station niet kan worden geplaatst</t>
  </si>
  <si>
    <t>1. Perceeleigenaar is niet beschikbaar of gaat niet akkoord met de aangepaste overeenkomst;
2. ZRO-proces niet tijdig of niet volledig doorlopen;
3. Beperkte capaciteit bij afdeling Grond &amp; Recht.</t>
  </si>
  <si>
    <t>1. MSR-14 kan niet worden geplaatst, waardoor het net niet tijdig kan worden overgenomen;
2. Extra overlegrondes noodzakelijk met bijbehorende vertraging en kosten;
3. IBN datum verschuift.</t>
  </si>
  <si>
    <t>1. Bij terugkomst boswachter herinnering sturen / herhaalgesprek inplannen voor het bespreken van de ZRO.
2. Aangepaste overeenkomst overeenkomen</t>
  </si>
  <si>
    <t>1. Isabel Gheza
2. Jarno Sman</t>
  </si>
  <si>
    <t xml:space="preserve">1. Vervallen
2. 09-04-2026
</t>
  </si>
  <si>
    <t>De grondaankoop voor MSR-11 is niet tijdig verkregen waardoor het station niet kan worden geplaatst</t>
  </si>
  <si>
    <t>1. Perceeleigenaar (boswachter) is niet beschikbaar of gaat niet akkoord;
2. ZRO-proces niet tijdig of niet volledig doorlopen;
3. Beperkte capaciteit bij afdeling Grond &amp; Recht.</t>
  </si>
  <si>
    <t>1. MSR-11 kan niet worden geplaatst, waardoor het net niet tijdig kan worden overgenomen;
2. Extra overlegrondes zijn noodzakelijk;
3. IBN datum verschuift.</t>
  </si>
  <si>
    <t>1. Bij terugkomst boswachter herinnering sturen / herhaalgesprek inplannen voor het bespreken van de ZRO
2. Aangepaste overeenkomst overeenkomen</t>
  </si>
  <si>
    <t>1. Vervallen
2. 09-04-2026</t>
  </si>
  <si>
    <t>De grondaankoop voor werkstrook van staatsbosbeheer is niet tijdig verkregen waardoor het station niet kan worden geplaatst</t>
  </si>
  <si>
    <t>1. Staatsbosbeheer is niet beschikbaar of gaat niet akkoord met de voorwaarden voor de werkstrook;
2. Interne procedures bij Staatsbosbeheer vereisen meer doorlooptijd dan voorzien;
3. ZRO-proces niet tijdig of niet volledig doorlopen.</t>
  </si>
  <si>
    <t>1. Uitvoering op de desbetreffende tracédelen kan niet starten door ontbrekende toestemming;
2. Uitvoeringsplanning moet worden aangepast, met herplanning en extra kosten;
3. IBN datum verschuift.</t>
  </si>
  <si>
    <t>De omgevingsvergunning rondom de provinciale weg is niet verkregen om te kunnen starten met de uitvoering</t>
  </si>
  <si>
    <t>1. Provincie Noord-Holland stelt aanvullende eisen aan het intredepunt of de uitvoeringsmethode;
2. Het tracé of intredepunt sluit niet aan bij de eisen van de provincie;
3. Vergunningsaanvraag onvolledig of niet tijdig ingediend.</t>
  </si>
  <si>
    <t>1. Werkzaamheden nabij de provinciale weg kunnen niet worden uitgevoerd;
2. Herontwerp van het intredepunt of het tracé is noodzakelijk, met extra engineeringskosten;
3. Vertraging in de uitvoering doordat de vergunningsprocedure opnieuw moet worden doorlopen.</t>
  </si>
  <si>
    <t>1. Onderbouwde toelichting waarom intredepunt op de geschetste locatie moet.
2. Alternatieven uitwerken
3. Gekozen alternatief neerleggen bij Provincie Noord-Holland</t>
  </si>
  <si>
    <t>1. Isabel Gheza
2. Reimer Lap
3. Isabel Gheza</t>
  </si>
  <si>
    <t>1. Gereed
2. 21-11-2025
3. Open</t>
  </si>
  <si>
    <t>Bevoegd gezag doet langer over beoordelingstermijn</t>
  </si>
  <si>
    <t>1. Onvoldoende capaciteit bij het bevoegde gezag voor tijdige beoordeling van de aanvraag;
2. Vergunningsaanvraag onvolledig, waardoor aanvullende informatie moet worden opgevraagd;
3. Bevoegd gezag maakt gebruik van de wettelijke mogelijkheid voor een aanvullende beslistermijn.</t>
  </si>
  <si>
    <t>1. De start van de uitvoering loopt vertraging op door het uitblijven van de vergunning;
2. IBN datum verschuift, met extra stand-bykosten;
3. Herplanning van personeel en materieel is noodzakelijk.</t>
  </si>
  <si>
    <t>Afgetikt bij MSR (Schelpenbolweg 11 en 15)</t>
  </si>
  <si>
    <t xml:space="preserve">Aanpassingen vergunningen worden niet op tijd goedgekeurd door gemeente Hollands Kroon. </t>
  </si>
  <si>
    <t>1. Onvoldoende capaciteit bij de gemeente Hollands Kroon voor tijdige beoordeling;
2. Aanpassingen aan het ontwerp of tracé na indiening vereisen herindieningsronden;
3. Indieningseisen onduidelijk of de gemeente hanteert een aanvullende beslistermijn.</t>
  </si>
  <si>
    <t>1. Vertraging in de voorbereidingsfase doordat werkzaamheden niet mogen starten;
2. IBN datum verschuift, met extra stand-bykosten voor personeel en materieel;
3. Rework engineering bij afgekeurde vergunningsindieningsronden.</t>
  </si>
  <si>
    <t>1. Tijdig opstarten van het vergunningentraject
2. In de planning 6 wkn extra behandeltermijn opnemen. 
3. Liander voert escalatiegesprekken om zaken sneller te laten verlopen</t>
  </si>
  <si>
    <t>1. Isabel Gheza
2. Isabel Gheza
3. Liander</t>
  </si>
  <si>
    <t>1. Gereed
2. Gereed
3. Gereed</t>
  </si>
  <si>
    <t>Er blijken aanvullende maatregelen voor ecologie benodigd</t>
  </si>
  <si>
    <t>1. Aanwezigheid van beschermde soorten (rugstreeppad, broedvogels) die niet volledig waren geïdentificeerd in de quickscan;
2. Wijzigingen in planning of tracé resulteren in werkzaamheden in ecologisch gevoelige gebieden;
3. Bevoegd gezag of omgevingsdienst stelt aanvullende ecologische eisen bij de vergunning.</t>
  </si>
  <si>
    <t>1. Aanvullende ecologische maatregelen zijn verplicht (ecologisch werkprotocol, ecoloog, paddenschermen), met extra kosten;
2. Werkzaamheden kunnen niet starten of moeten worden stilgelegd in ecologisch gevoelige periodes;
3. Vertraging in de uitvoering met risico op overschrijding van de IBN datum.</t>
  </si>
  <si>
    <t>Risico is specifiek voor beschermde diersoorten die onverwachts in de uitvoering tegen komen</t>
  </si>
  <si>
    <t xml:space="preserve">
2. EWP volgen  </t>
  </si>
  <si>
    <t>1.</t>
  </si>
  <si>
    <t>1. Revisie is binnen. Dezelfde maatregelen. Met RSO doornemen</t>
  </si>
  <si>
    <t>Nieuwe onderzoeken nodig voor 3kV verwijderen</t>
  </si>
  <si>
    <t>1. Buffer van eerder uitgevoerde conditionerende onderzoeken is niet toereikend voor de 3kV amovering;
2. Tracéwijzigingen of scopeuitbreidingen vallen buiten het onderzoeksgebied van de reeds uitgevoerde onderzoeken;
3. Bevoegd gezag of omgevingsdienst stelt aanvullende onderzoekseisen.</t>
  </si>
  <si>
    <t>1. Langere doorlooptijden door het uitvoeren van nieuwe conditionerende onderzoeken;
2. Extra kosten voor niet-geplande onderzoeksactiviteiten;
3. Vertraging in de uitvoering doordat werkzaamheden niet mogen starten voor afronding van de onderzoeken.</t>
  </si>
  <si>
    <t xml:space="preserve">Alleen kabels verwijderen waar we nieuwe gaan leggen. Dus ook geen tekeningen. </t>
  </si>
  <si>
    <t>1. OM buffer uitgevoerde onderzoeken controleren</t>
  </si>
  <si>
    <t>WV'er (met 3kV kennis) is niet beschikbaar</t>
  </si>
  <si>
    <t>1. Beperkte beschikbaarheid van gecertificeerde werkverantwoordelijken met specifieke 3kV-kennis;
2. Marktschaarste door hoge gelijktijdige vraag bij meerdere projecten;
3. Uitval van de geplande WV'er door ziekte, verlof of overbelasting zonder afdoende vervanging.</t>
  </si>
  <si>
    <t>1. Warmwerkplannen en schakelplannen kunnen niet worden opgesteld, waardoor de uitvoering stagneert;
2. 3kV werkzaamheden kunnen niet veilig en conform procedure worden uitgevoerd;
3. Vertraging en extra kosten door herplanning van uitvoeringswerkzaamheden.</t>
  </si>
  <si>
    <t>1. Tijdig reserveren van een gecertificeerde WV'er met 3kV-kennis in de projectplanning;
2. Achtervang of vervanger regelen voor de geplande WV'er;
3. Warmwerkplannen zo vroeg mogelijk laten opstellen om tijdsdruk te voorkomen.</t>
  </si>
  <si>
    <t>OOO's aangetroffen tijdens de uitvoering</t>
  </si>
  <si>
    <t>1. Onvoldoende of ontbrekend vooronderzoek OOO in de voorbereidingsfase;
2. Historisch verdacht gebied (voormalige frontlijn, schijnvliegveld) waarvan de informatie niet is vertaald naar de uitvoering;
3. Graaf- of boorwerkzaamheden buiten het geanalyseerde profiel (dieper of breder dan onderzocht).</t>
  </si>
  <si>
    <t>1. Directe veiligheidsrisico's voor personeel en omgeving bij het aantreffen van OOO's;
2. Onmiddellijke stillegging van werkzaamheden met aanzienlijke projectvertraging;
3. Extra kosten door specialistisch onderzoek, ruiming en herplanning.</t>
  </si>
  <si>
    <t>1. OOO-vooronderzoek uitvoeren en vastleggen conform geldende richtlijnen, afgestemd op het werkgebied;
2. Risicogebieden expliciet benoemen in werkplannen en V&amp;G-plan;
3. Instructie voor uitvoerend personeel over herkenning en meldprocedure bij aantreffen van OOO's.</t>
  </si>
  <si>
    <t xml:space="preserve">De benodigde ZRO's / grondaankopen zijn niet voor start uitvoering ondertekend. </t>
  </si>
  <si>
    <t xml:space="preserve">1. Tijdig in VO fase perceeleigenaren benaderen
2. Bij geen akkoord direct gedoogconstructie opstarten
3. Indien bezwaar laatste tekening niet in kleine tijd kan worden opgelost alvast starten met ZRO procedure muv de laatste tekening.
4. Moeilijke percelen naar achteren zetten in uitvoeringsplanning
5. NAOK ondertekenen zonder alle ZRO's mits goed onderbouwd
</t>
  </si>
  <si>
    <t>1. Isabel Gheza
2. Isabel Gheza
3. Jarno Sman
4. Johan van Dronkelaar
5. Johan van Dronkelaar</t>
  </si>
  <si>
    <t>1. Gereed
2. Besluit: Wacht op uitvoering
3. Gereed
4. 12-09-2025
5. 12-09-2025</t>
  </si>
  <si>
    <t>Blow-out tijdens boringen</t>
  </si>
  <si>
    <t>1. Onvoldoende inzicht in de bodemopbouw en grondwaterdruk (verkeerde aannames in het boorprofiel);
2. Te hoge boorvloeistofdruk of onvoldoende drukbeheersing tijdens het boren;
3. Afwijkingen van het boorplan door obstakels of stuurfouten.</t>
  </si>
  <si>
    <t>1. Uittreding van boorvloeistof aan maaiveld of watergang met milieuschade;
2. Stillegging van de boring en projectvertraging voor onderzoek en herstel;
3. Schade aan omgeving of infrastructuur en mogelijke claims.</t>
  </si>
  <si>
    <t>1. Gedegen bodem- en grondwateronderzoek en een getoetst boorplan met veiligheidsmarges;
2. Continue monitoring en beheersing van de boorvloeistofdruk tijdens de boring;
3. Inzet van ervaren en gecertificeerd HDD-personeel met duidelijke werkprocedures.</t>
  </si>
  <si>
    <t>Uitbraak bij gestuurde boringen</t>
  </si>
  <si>
    <t>1. Onvoldoende inzicht in bodemopbouw en grondwaterdruk door tekortschietend vooronderzoek;
2. Te hoge boorvloeistofdruk of onvoldoende beheersing van de boorvloeistof tijdens het boren;
3. Afwijkingen van het boorplan door onverwachte obstakels of stuurfouten.</t>
  </si>
  <si>
    <t>1. Uittreding van boorvloeistof aan het maaiveld of in een watergang, met milieuschade;
2. Stillegging van de boring en vertraging voor onderzoek, herstel en herstart;
3. Schade aan omgeving of infrastructuur, claims en reputatieschade.</t>
  </si>
  <si>
    <t>1. Onvoldoende beschikbaarheid van gekwalificeerde werkverantwoordelijken met 3kV-kennis;
2. Beperkte capaciteit bij de kernorganisatie door meerdere gelijktijdige projecten;
3. Te late aanvraag of reservering van de WV'er in de projectplanning.</t>
  </si>
  <si>
    <t>1. Warmwerkplannen en schakelplannen kunnen niet tijdig worden opgesteld;
2. Uitvoering moet worden uitgesteld, met vertraging van de IBN datum;
3. Risico op onveilige situaties bij uitvoering van 3kV werkzaamheden zonder gecertificeerd toezicht.</t>
  </si>
  <si>
    <t>Johan van Dronkelaar</t>
  </si>
  <si>
    <t>1. Benodigde urenstaat opstellen voor WV'er 
2. Warme overdracht door WV'er eerder mee te nemen dan enkel voor het opstellen van de warm-werk en schakelplannen</t>
  </si>
  <si>
    <t>Er moeten mitigerende maatregelen worden genomen voor zoutkwel bij boring</t>
  </si>
  <si>
    <t>1. Hoge grondwaterdruk met zoutwaterindringing in de bodem rondom de boorlocatie;
2. Onvoldoende inzicht in de bodemgesteldheid en het grondwaterrisico voorafgaand aan de boring;
3. Onvoldoende geotechnisch vooronderzoek naar het zoutkwelrisico op de specifieke boorlocatie.</t>
  </si>
  <si>
    <t>1. Aanvullende maatregelen zijn nodig die niet zijn voorzien in de planning en raming;
2. Vertraging in de boring doordat maatregelen eerst moeten worden uitgewerkt en aanbesteed;
3. Extra kosten voor geotechnisch onderzoek, mitigerende maatregelen en mogelijk herstelwerk.</t>
  </si>
  <si>
    <t>1. Onderzoek naar welke maatregelen er mogelijk moeten worden genomen. Geotechnisch onderzoek is uitgezet. 
2. CAR Toetsen of deze van toepassing is voor schadeclaim van de boer. 
3. In contact het HAK engineering / Movares voor de status van het zoutkwel bij de boring</t>
  </si>
  <si>
    <t>1. Isabel Gheza
2. Johan van Dronkelaar
3. Thijs Baauw</t>
  </si>
  <si>
    <t>1.Gereed
2. Gereed
3. Gereed</t>
  </si>
  <si>
    <t>Verschuiving van planning zorgt voor uitvoering in actieve periode van rugstreeppadden</t>
  </si>
  <si>
    <t>1. Vertraging in de voorbereiding (vergunningen, ZRO's, ontwerp) dwingt de uitvoering naar de actieve periode van de rugstreeppad (april–september);
2. Onvoldoende buffer in de planning voor ecologische randperiodes en de wettelijke beschermingstermijnen.</t>
  </si>
  <si>
    <t>1. Aanvullende ecologische maatregelen zijn verplicht (paddenschermen, ecoloog, ritssleuftechniek), met extra kosten;
2. Werkzaamheden in bepaalde periodes zijn wettelijk niet toegestaan, waardoor de uitvoering stagneert;
3. Projectplanning en IBN datum verschuiven, met risico op kostenverhoging.</t>
  </si>
  <si>
    <t>1. In de winterperiode: geen maatregelen te nemen
2. Buiten de winterperiode: maatregelen beschreven in ecologisch werkprotocol</t>
  </si>
  <si>
    <t>Nat- of regenachtig seizoen</t>
  </si>
  <si>
    <t>1. Langdurige periodes van neerslag boven het seizoensgemiddelde;
2. Onvoldoende drainage of waterafvoer in het werkgebied en de sleuven;
3. Planning onvoldoende afgestemd op weersgevoelige werkzaamheden.</t>
  </si>
  <si>
    <t>1. Vertraging van civiele werkzaamheden (graven, boringen, fundatieplaatsen) door natte omstandigheden;
2. Verslechtering van de bodemgesteldheid met risico op instabiele sleuven of verzakkingen;
3. Extra kosten door herstelwerk, stilstand van materieel en herplanning.</t>
  </si>
  <si>
    <t>1. Weersgevoelige werkzaamheden identificeren en faseren in de planning;
2. Tijdelijke drainage- en waterafvoermaatregelen voorzien (pompen, rijplaten);
3. Alternatieve werkwijzen of werkvolgorde voorbereiden voor natte omstandigheden.</t>
  </si>
  <si>
    <t>De vergunning voor het aanleggen/veranderen van de uitrit is niet verkregen om te kunnen starten met de uitvoering bij de slootweg</t>
  </si>
  <si>
    <t>1. Vergunningsaanvraag niet tijdig ingediend of gemeente stelt aanvullende eisen aan de uitrit;
2. Perceeleigenaar werkt niet mee aan het aanvraagproces;
3. Technische beoordeling door gemeente leidt tot aanpassingsvereisten.</t>
  </si>
  <si>
    <t>1. Uitvoering bij de slootweg kan niet starten door het ontbreken van de benodigde vergunning;
2. Vertraging in de uitvoering van de aangrenzende tracédelen;
3. Extra kosten door herplanning of aanpassing van de aanvoerroute.</t>
  </si>
  <si>
    <t>1. Rechtstreeks benaderen voor vergunning parallel aan de gesprekken met de rentmeesters indien niet voor 17-10-2025 wordt getekend.
Vergunning kan verleend worden eind januari</t>
  </si>
  <si>
    <t>1 Isabel Gheza</t>
  </si>
  <si>
    <t>TVM's worden niet nageleefd</t>
  </si>
  <si>
    <t>1. Onvoldoende kennis of bewustzijn bij uitvoering van de geldende TVM-plannen en vergunningvoorwaarden;
2. Afwijkingen in de uitvoering (bijv. gewijzigde werkvolgorde) zonder aanpassing van de TVM's;
3. Onvoldoende toezicht en controle op naleving van TVM's tijdens de werkzaamheden.</t>
  </si>
  <si>
    <t>1. Onveilige verkeerssituaties voor weggebruikers en uitvoerend personeel;
2. Handhavend optreden door bevoegd gezag, inclusief boetes of stillegging;
3. Vertraging en extra kosten door herstel van de TVM-situatie en herplanning.</t>
  </si>
  <si>
    <t>1. TVM-plan en vergunningvoorwaarden expliciet bespreken met uitvoerend personeel vóór start werkzaamheden;
2. Gecertificeerd personeel inzetten voor plaatsen en onderhoud van TVM's;
3. Regelmatige controle en toezicht op locatie op juiste plaatsing en naleving van TVM's.</t>
  </si>
  <si>
    <t>Onvoldoende capaciteit uitvoering door meerdere projecten tegelijkertijd</t>
  </si>
  <si>
    <t>1. Concurrentie met andere projecten voor dezelfde personele en materiele capaciteit;
2. Onrealistische capaciteitsplanning, waarbij onvoldoende rekening is gehouden met gelijktijdige projecten;
3. Onvoldoende afstemming tussen projecten over prioritering en beschikbaarheid van middelen.</t>
  </si>
  <si>
    <t>1. Vertraging van werkzaamheden en het niet halen van projectmijlpalen;
2. Verhoogde werkdruk met risico's voor veiligheid, kwaliteit en fouten;
3. Extra kosten door inzet van noodoplossingen, externe inhuur of overwerk.</t>
  </si>
  <si>
    <t>1. Realistische capaciteitsplanning opstellen en periodiek actualiseren per projectfase;
2. Capaciteit tijdig reserveren en vastleggen, inclusief onderaannemers;
3. Afstemmen van de planning met andere lopende projecten binnen de organisatie.</t>
  </si>
  <si>
    <t>Aanvullende maatregelen nodig bovenop verkeersplannen</t>
  </si>
  <si>
    <t>1. Bevoegd gezag stelt aanvullende eisen aan de verkeersmaatregelen na indiening van het verkeersplan;
2. Wijzigingen in de uitvoeringsplanning vereisen aanpassing van de geldende verkeersmaatregelen;
3. Onvoorziene verkeerssituaties of obstakels in het werkgebied vragen om aanvullende maatregelen.</t>
  </si>
  <si>
    <t>1. Extra kosten voor aanvullende verkeersmaatregelen;
2. Vertraging doordat het verkeersplan opnieuw moet worden goedgekeurd door het bevoegde gezag;
3. Verhoogd veiligheidsrisico voor weggebruikers en personeel gedurende de aanpassingsperiode.</t>
  </si>
  <si>
    <t>1. Verkeersplan zo vroeg mogelijk afstemmen met bevoegd gezag en aanvullende eisen ophalen;
2. Verkeersplannen flexibel opstellen met ruimte voor aanpassingen bij gewijzigde uitvoeringsomstandigheden;
3. Actuele uitvoeringssituatie periodiek vergelijken met het goedgekeurde verkeersplan.</t>
  </si>
  <si>
    <t>Onduidelijkheid- wie doet wat omtrent plaatsing van stations</t>
  </si>
  <si>
    <t>1. Onvoldoende vastgelegde taak- en rolverdeling tussen opdrachtgever, aannemer en netbeheerder;
2. Onduidelijkheid over raakvlakken tussen civiele werkzaamheden, elektrotechnische werkzaamheden en levering van het station;
3. Wijzigingen in scope of planning niet duidelijk doorgevoerd naar alle betrokken partijen.</t>
  </si>
  <si>
    <t>1. Verstoringen in de uitvoering door onduidelijkheid over wie welke taak uitvoert;
2. Vertraging in de plaatsing van stations doordat activiteiten niet tijdig worden opgepakt;
3. Verhoogd risico op kwaliteitsfouten, veiligheidsincidenten of contractuele geschillen.</t>
  </si>
  <si>
    <t>1. Taak- en rolverdeling voor stationsplaatsing vastleggen;
2. Integrale planningsafstemming organiseren met alle betrokken partijen vóór start stationswerk;
3. Vaste contactpersoon aanwijzen per partij als aanspreekpunt bij onduidelijkheden.</t>
  </si>
  <si>
    <t>Gemaakte afspraken perceeleigenaren onbekend bij uitvoering</t>
  </si>
  <si>
    <t>1. Onvoldoende overdracht
2. Afspraken zijn niet goed vastgelegd
3. Afspraken zijn niet toegankelijk
4. Ontwetendheid bij uitvoering</t>
  </si>
  <si>
    <t>1. Stakeholders ontevreden
2. Boetes vanuit bevoegd gezag
3. Stagnatie door stillegging door bevoegd gezag
4. Opzeggen medewerking vanuit perceeleigenaren</t>
  </si>
  <si>
    <t>1. Warme overdracht OM - Uitvoering
2. Dossier beschikbaar stellen per stakeholder</t>
  </si>
  <si>
    <t>Onbegrip over ontwerp tijdens uitvoering</t>
  </si>
  <si>
    <t>1. Onvoldoende overdracht
2. Afspraken omtrent ontwerpkeuzes onduidelijk</t>
  </si>
  <si>
    <t>1. Afkeur van de aanleg
2. Vertraging door extra overleggen</t>
  </si>
  <si>
    <t>1. Warme overdracht (TM- uitvoering)</t>
  </si>
  <si>
    <t>Aansluitkabel moet opnieuw in de woning ingevoerd worden</t>
  </si>
  <si>
    <t>1. Bestaande situatie is anders dan op tekening</t>
  </si>
  <si>
    <t xml:space="preserve">1. Maken nieuwe invoering
2. Mogelijk kabel niet te realiseren
3. Niet aan kunnen sluiten </t>
  </si>
  <si>
    <t>1. Iedere aansluiting schouwen, of foto's aanleveren door bewoners</t>
  </si>
  <si>
    <t>Er wordt (onverwachts) asbest aangetroffen in de 3kV stations</t>
  </si>
  <si>
    <t>1. Geen schouw
2. MSR's gebouwd in tijd dat veel asbest werd toegepast</t>
  </si>
  <si>
    <t>1. Onveilige werksituatie
2. Inschakelen gecertificeerd amoveerbedrijf
3. Uitvoering herplannen
4. Stagnatie</t>
  </si>
  <si>
    <t>1. Schouw degelijk en tijdig uitvoeren
2. Verkennende onderzoeken naar asbestverdacht
3. Contact leggen met asbest-sanering bedrijven
4. Informeren bij Liander asbestonderzoek</t>
  </si>
  <si>
    <t>Brandstofprijzen verhoogd</t>
  </si>
  <si>
    <t>1. Geopolitieke bewegingen</t>
  </si>
  <si>
    <t>1. Hogere kosten voor transport (intern en extern)
2. Hogere kosten HDPE
3. Hogere kosten operatie</t>
  </si>
  <si>
    <t>1. Vroegtijdig inkopen</t>
  </si>
  <si>
    <t xml:space="preserve">Er zijn aanvullende eisen vanuit Liander / derden </t>
  </si>
  <si>
    <t>1. Liander of andere stakeholders stellen aanvullende technische of procesmatige eisen die niet waren voorzien;
2. Wijzigingen in wet- en regelgeving of intern beleid leiden tot extra indieningsvereisten;
3. Projecteisen van derden (gemeente, waterschap) worden pas laat in het project duidelijk.</t>
  </si>
  <si>
    <t>1. Herengineering of aanvullende documentatie is noodzakelijk, met extra kosten;
2. Vertraging in de voorbereidings- of uitvoeringsfase;
3. Scopecreep met impact op planning en raming.</t>
  </si>
  <si>
    <t>1. Vroegtijdig alle stakeholderseisen inventariseren en vastleggen;
2. Wijzigingen in eisen via een formeel scopewijzigingsproces laten lopen;
3. Regelmatig overleg met Liander en derden om voortschrijdend inzicht tijdig te identificeren.</t>
  </si>
  <si>
    <t>Geen overeenstemming over kostenraming uitvoering</t>
  </si>
  <si>
    <t>1. Onvoldoende gedetailleerde of geactualiseerde kostenraming als basis voor onderhandelingen;
2. Scope is niet voldoende afgebakend, waardoor partijen verschillende interpretaties hanteren;
3. Marktomstandigheden en prijsstijgingen leiden tot discussie over de gehanteerde raming.</t>
  </si>
  <si>
    <t>1. NAOK kan niet tijdig worden ondertekend, waardoor de IBN datum verschuift;
2. Langdurige onderhandelingen leiden tot extra kosten en vertragingen;
3. Risico op contractuele geschillen.</t>
  </si>
  <si>
    <t>NAOK</t>
  </si>
  <si>
    <t>1. Kostenraming vroegtijdig en gedegen uitwerken op basis van gedetailleerde scope en actuele marktprijzen;
2. Overeenstemming over de raming formaliseren vóór de NAOK-fase;
3. Transparante communicatie over kostenmutaties en scopewijzigingen gedurende het project.</t>
  </si>
  <si>
    <t>Schade aan K&amp;L door derden</t>
  </si>
  <si>
    <t>1. Derden voeren graaf- of boorwerkzaamheden uit in de nabijheid van Liander-infrastructuur zonder adequate KLIC-melding;
2. Onjuiste of verouderde KLIC-gegevens bij externe partijen;
3. Onvoldoende coördinatie tussen Liander en partijen die gelijktijdig in het gebied werken.</t>
  </si>
  <si>
    <t>1. Beschadiging of uitval van kabel- en leidinginfrastructuur van Liander;
2. Veiligheidsrisico's en mogelijke storingen voor afnemers;
3. Extra herstelkosten en vertraging in het project.</t>
  </si>
  <si>
    <t>1. KLIC-meldingen monitoren in het projectgebied en externe partijen informeren over de aanwezige infrastructuur;
2. Coördinatieoverleg organiseren met gemeente en andere nutsbedrijven over gelijktijdige werkzaamheden;
3. Schadeprotocol gereedmaken voor snel ingrijpen bij incidenten.</t>
  </si>
  <si>
    <t>Archeologische vondsten</t>
  </si>
  <si>
    <t>1. Onvolledig of beperkt archeologisch vooronderzoek waardoor niet alle risicovolle zones zijn afgedekt;
2. Historisch waardevol gebied waarvan de archeologische verwachting wordt onderschat;
3. Afwijkingen in uitvoering (dieper of breder graven dan onderzocht).</t>
  </si>
  <si>
    <t>1. Directe stillegging van werkzaamheden vanwege de wettelijke archeologische beschermingsplicht;
2. Vertraging door aanvullend onderzoek, documentatie en eventuele tracéaanpassingen;
3. Extra kosten voor onderzoek en ontwerp- of planaanpassingen.</t>
  </si>
  <si>
    <t>1. Uitvoeren en toetsen van archeologisch vooronderzoek passend bij het tracé en de graafdiepte;
2. Archeologische randvoorwaarden opnemen in werkplannen en V&amp;G-plan;
3. Instructie aan uitvoerend personeel over herkenning en meldplicht bij archeologische vondsten.</t>
  </si>
  <si>
    <t>Werkstrook blijkt niet breed genoeg</t>
  </si>
  <si>
    <t>1. Onvoldoende ruimte door aanwezige bebouwing, infrastructuur of perceelgrenzen;
2. Werkstrookafspraken of vergunningsvoorwaarden niet correct vertaald naar de uitvoering;
3. Afwijkingen ten opzichte van het ontwerp of obstakels die pas tijdens uitvoering zichtbaar worden.</t>
  </si>
  <si>
    <t>1. Onveilige werksituaties door beperkte manoeuvreerruimte voor personeel en materieel;
2. Belemmering van werkzaamheden, leidend tot vertraging en inefficiënte uitvoering;
3. Kwaliteitsrisico's of schade aan de omgeving en bestaande infrastructuur.</t>
  </si>
  <si>
    <t>1. Werkstrookbreedte tijdig toetsen aan het ontwerp, vergunningen en uitvoeringsmethoden;
2. Werkstrookafspraken expliciet vastleggen en communiceren naar uitvoering en onderaannemers;
3. Alternatieve werkmethoden of fasering voorbereiden bij beperkte ruimte.</t>
  </si>
  <si>
    <t>Medische ongevallen</t>
  </si>
  <si>
    <t>1. Onvoldoende naleving van veiligheidsmaatregelen en werkprocedures door personeel;
2. Onveilige werkomstandigheden (beperkte werkruimte, verkeer, weersinvloeden, hoogspanning);
3. Onvoldoende toezicht, instructie of ervaring van uitvoerend personeel.</t>
  </si>
  <si>
    <t>1. Letsel of gezondheidsschade bij medewerkers of derden;
2. Stillegging van werkzaamheden door onderzoek of ingrijpen van toezichthouders;
3. Vertraging, extra kosten, mogelijke claims en reputatieschade.</t>
  </si>
  <si>
    <t>1. Uitgewerkt en actueel V&amp;G-plan met project- en taakspecifieke risico's;
2. Regelmatige toolboxmeetings en duidelijke veiligheidsinstructies voor alle betrokkenen;
3. Voldoende toezicht op de werkplek door bevoegde en aanwezige leidinggevenden.</t>
  </si>
  <si>
    <t>Tussensituatie blokkenschema niet tijdig gereed</t>
  </si>
  <si>
    <t>1. Begin- en eindsituatie niet tijdig aangeleverd door Liander;
2. Onvoldoende capaciteit bij de werkverantwoordelijke voor het opstellen van het blokkenschema;
3. Complexiteit van de tussentijdse netconfiguratie vereist meer doorlooptijd dan voorzien.</t>
  </si>
  <si>
    <t>1. Tollgate kan niet tijdig worden gepasseerd door het ontbrekende blokkenschema;
2. Schakelwerkzaamheden moeten worden uitgesteld, wat de uitvoering vertraagt;
3. Extra kosten door herplanning van personeel en materieel.</t>
  </si>
  <si>
    <t>Frederik Leemkuil</t>
  </si>
  <si>
    <t>1. Begin- en eindsituatie tijdig aanvragen en borgen bij Liander;
2. WV'er vroegtijdig betrekken bij het opstellen van het blokkenschema;
3. Voortgang van het blokkenschema opvolgen in het wekelijkse projectoverleg.</t>
  </si>
  <si>
    <t>Materieel niet tijdig beschikbaar</t>
  </si>
  <si>
    <t>1. Onvoldoende tijdige reservering van benodigd materieel in de voorbereidingsfase;
2. Concurrerend gebruik van materieel op andere gelijktijdige projecten;
3. Onvoorziene uitloop of storingen waardoor materieel langer bezet of buiten gebruik is.</t>
  </si>
  <si>
    <t>1. Vertraging van werkzaamheden en het niet halen van geplande bouw- of aansluitmomenten;
2. Inefficiënte inzet van personeel dat niet kan doorwerken;
3. Extra kosten door spoedinhuur of herplanning.</t>
  </si>
  <si>
    <t>1. Materieelbehoefte vroegtijdig vaststellen en vastleggen in de planning en werkplannen;
2. Tijdige reservering en contractuele borging van materieel bij leveranciers;
3. Afstemming tussen projecten over beschikbaarheid en prioriteiten.</t>
  </si>
  <si>
    <t>Onvoldoende capaciteit boringen</t>
  </si>
  <si>
    <t>1. Beperkt aantal beschikbare boormachines of gecertificeerde boorders voor dit project;
2. Concurrentie met andere projecten voor dezelfde boorcapaciteit;
3. Onvoorziene technische problemen of storingen waardoor de booractiviteiten worden vertraagd.</t>
  </si>
  <si>
    <t>1. Vertraging van de boorfase met impact op de totale projectplanning en IBN datum;
2. Extra kosten door spoedinhuur van boorcapaciteit of herhaalbezoeken;
3. Verhoogd risico op fouten of kwaliteitsproblemen bij tijdsdruk.</t>
  </si>
  <si>
    <t>1. Boorcapaciteit tijdig reserveren en contractueel vastleggen in de voorbereidingsfase;
2. Afstemmen met andere projecten over beschikbaarheid en prioriteiten;
3. Reservecapaciteit bij een alternatieve boorpartij identificeren als achtervang bij uitval.</t>
  </si>
  <si>
    <t>Last minute aanpassingen aan opleverdocumentatie</t>
  </si>
  <si>
    <t>Niet tijdig bevriezen documenten</t>
  </si>
  <si>
    <t>1. Kwaliteit daalt door 'stress' factoren
2. Mogelijk verlate indieningen</t>
  </si>
  <si>
    <t>1. Reminders definitief maken documentatie
2. Vroegtijdig klaarzetten documentatie</t>
  </si>
  <si>
    <t>1. WBU
2. Allen</t>
  </si>
  <si>
    <t>Schade aan particuliere percelen</t>
  </si>
  <si>
    <t>1. Bodemverdichting of structuurschade door inzet van zwaar materieel, met name bij natte omstandigheden;
2. Onvoldoende inzicht in bodemopbouw en grondgebruik per perceel;
3. Afwijkingen van afgesproken rijroutes en werkstroken tijdens de uitvoering.</t>
  </si>
  <si>
    <t>1. Aantasting van bodemkwaliteit en gebruikswaarde (opbrengstverlies, verminderde draagkracht);
2. Schadeclaims en herstelverplichtingen richting perceeleigenaren;
3. Vertraging door conflicten, herstelmaatregelen of beperkte toegang tot het perceel.</t>
  </si>
  <si>
    <t>1. Bodemgesteldheid en grondgebruik per perceel inventariseren en vastleggen vóór start uitvoering;
2. Perceelafspraken over rijroutes, werkstroken en bodembescherming communiceren naar uitvoering;
3. Bodembeschermende maatregelen inzetten, zoals rijplaten, aangepast materieel en passende werkvolgorde.</t>
  </si>
  <si>
    <t>Inefficiënt werken</t>
  </si>
  <si>
    <t>1. Onvoldoende uitgewerkte werkplannen waardoor ad-hoc beslissingen nodig zijn op de werkvloer;
2. Gebrekkige afstemming en communicatie tussen uitvoering, werkvoorbereiding en projectleiding;
3. Onvoldoende inzicht bij uitvoerend personeel in de planning, afhankelijkheden en beschikbare capaciteit.</t>
  </si>
  <si>
    <t>1. Lagere productiviteit, waardoor de geplande uitvoeringstermijn niet wordt gehaald;
2. Extra kosten door niet-productieve uren en herhaalbezoeken;
3. Verhoogde werkdruk met risico op kwaliteits- of veiligheidsincidenten.</t>
  </si>
  <si>
    <t>Vertraging tijdens tollgates</t>
  </si>
  <si>
    <t>1. Reviewen documenten duurt langer dan verwacht
2. Discussie over acceptatie documenten</t>
  </si>
  <si>
    <t>1. Vertraging tollgate</t>
  </si>
  <si>
    <t>1. Warme overdracht documentatie
2. Informele eerdere indiening daar waar mogelijk</t>
  </si>
  <si>
    <t>1. WBU
2. WBU</t>
  </si>
  <si>
    <t>Diefstal</t>
  </si>
  <si>
    <t>1. Onvoldoende beveiliging van de bouwplaats en opslaglocaties, met name buiten werktijden;
2. Materialen en materieel langdurig onbeheerd aanwezig op toegankelijke locaties;
3. Beperkt toezicht en onvoldoende overzicht over aanwezige materialen en hulpmiddelen.</t>
  </si>
  <si>
    <t>1. Vertraging van werkzaamheden doordat essentieel materiaal of materieel ontbreekt;
2. Extra kosten voor vervanging, spoedleveringen en herstel van schade;
3. Verhoogd veiligheidsrisico door gebruik van noodoplossingen.</t>
  </si>
  <si>
    <t>1. Beveiligde opslag en afsluiting van de bouwplaats, inclusief verlichting en toegangsbeperkingen;
2. Just-in-time levering van materialen om de aanwezige voorraad op locatie te minimaliseren;
3. Registratie en controle van materiaal en materieel, inclusief verantwoordelijkheden voor toegangsbeheer.</t>
  </si>
  <si>
    <t xml:space="preserve">Uitvoering- en omgevingsmanagement communiceren niet goed
</t>
  </si>
  <si>
    <t>1. Onvoldoende vaste overlegmomenten tussen uitvoering en omgevingsmanagement;
2. Wijzigingen in omgevingseisen of -afspraken niet tijdig doorgecommuniceerd;
3. Omgevingsmanager onvoldoende betrokken bij overleg met onderaannemers.</t>
  </si>
  <si>
    <t>1. Uitvoering in strijd met omgevingsafspraken (werktijden, bereikbaarheid, hinderbeperking);
2. Klachten van omgeving of bevoegd gezag, mogelijk leidend tot werkstillegging;
3. Vertraging en extra kosten door herstelmaatregelen en aanvullende afstemming.</t>
  </si>
  <si>
    <t>1. Vaste periodieke overlegmomenten instellen tussen uitvoering en omgevingsmanagement;
2. Omgevingsmanager structureel betrekken bij uitvoeringsoverleggen, inclusief onderaannemers;
3. Omgevingsafspraken vastleggen in werkplannen met duidelijke escalatielijnen bij afwijkingen.</t>
  </si>
  <si>
    <t>Overlast van de werkzaamheden (3kV) bij perceeleigenaren</t>
  </si>
  <si>
    <t>1. Perceeleigenaren zijn onvoldoende geïnformeerd over de werkzaamheden en de impact op hun perceel;
2. Eerder gemaakte afspraken worden als onvoldoende ervaren of zijn niet nagekomen;
3. Weerstand door negatieve ervaringen met vergelijkbare werkzaamheden in het verleden.</t>
  </si>
  <si>
    <t>1. Toegang tot percelen wordt ontzegd, waardoor de uitvoering niet kan starten;
2. Weerstand van perceeleigenaren
3. Extra kosten door vertragingen en aanvullende onderhandelingen.</t>
  </si>
  <si>
    <t>1. Warm contact houden met perceeleigenaren
2. Tijdig planning opstellen
3. Planning delen zodra beschikbaar
4. Duidelijk krijgen wat de werkzaamheden precies inhouden</t>
  </si>
  <si>
    <t>1. Isabel
2. Wvb
3. Isabel</t>
  </si>
  <si>
    <t>Loopt</t>
  </si>
  <si>
    <t xml:space="preserve">Geïnformeerd via mail. </t>
  </si>
  <si>
    <t>Projecten derden voorkomen uitvoering</t>
  </si>
  <si>
    <t>1. Externe partijen (gemeente, andere nutsbedrijven) voeren gelijktijdig werkzaamheden uit in het projectgebied;
2. Onvoldoende coördinatie en afstemming van gelijktijdige activiteiten in hetzelfde gebied;
3. Onverwachte beperkingen of bezwaren van derden die de toegang tot het werkgebied beperken.</t>
  </si>
  <si>
    <t>1. Uitvoering wordt vertraagd of stilgelegd door conflicterende werkzaamheden;
2. Aanpassing van de uitvoeringsplanning met extra kosten;
3. Verhoogd risico op schade en veiligheidsproblemen door gelijktijdige activiteiten.</t>
  </si>
  <si>
    <t>1. Werkgebied periodiek controleren op geplande werkzaamheden van derden;
2. Coördinatieoverleg inrichten met gemeente en andere nutsbedrijven;
3. Uitvoeringsplanning flexibel houden voor onverwachte interferentie van derden.</t>
  </si>
  <si>
    <t>Aanpassinging in ontwerp waardoor vergunningen moeten worden aangepast</t>
  </si>
  <si>
    <t>1. Voortschrijdend inzicht in de ontwerpeisen leidt tot aanpassingen na indiening van de vergunning;
2. Eisen vanuit OIV'er of bevoegd gezag worden pas laat in het proces duidelijk;
3. Wijzigingen in het tracé of de stationslocaties noodzaken herziening van de reeds ingediende vergunning.</t>
  </si>
  <si>
    <t>1. Vergunning moet worden ingetrokken en opnieuw aangevraagd, waardoor de doorlooptijd aanzienlijk toeneemt;
2. Vertraging in de uitvoeringsstart door het opnieuw doorlopen van de vergunningsprocedure;
3. Extra engineeringskosten voor herziening van de vergunningsdocumenten.</t>
  </si>
  <si>
    <t>Alle tekeningen zijn definitief, OIV'ers zijn akkoord. Alleen nog reactie gemeente, maar is in ander risico geborgd</t>
  </si>
  <si>
    <t>1. Akkoord OIV'er tijdig aanvragen
2. Aanpassingen tijdig doorgeven bij Gemeente Hollands Kroon</t>
  </si>
  <si>
    <t>1. Liander
2. OM</t>
  </si>
  <si>
    <t>Leverantie- en/of productie problemen HDPE &amp; PVC</t>
  </si>
  <si>
    <t>1. Schaarste aan HDPE of PVC materiaal door verstoringen in de leveringsketen;
2. Productieproblemen bij leveranciers door hoge vraag of capaciteitsgebrek;
3. Te late bestelling of contractering van materialen in de voorbereidingsfase.</t>
  </si>
  <si>
    <t>1. Vertraging van de uitvoering door het ontbreken van benodigd leidingmateriaal;
2. Extra kosten door spoedbestellingen bij alternatieve leveranciers;
3. Kwaliteitsrisico's bij gebruik van niet-gecertificeerde of alternatieve materialen.</t>
  </si>
  <si>
    <t>1. Materiaalbehoeften vroegtijdig vaststellen en tijdig bestellen bij de leverancier;
2. Contractuele leveringsgaranties bedingen en leveringstermijnen monitoren;
3. Alternatieve leveranciers identificeren als achtervang bij leveringsproblemen.</t>
  </si>
  <si>
    <t>3kV kan niet worden aangelegd conform planning door ontbreken goedkeuring gemeente op planning verkeersplannen</t>
  </si>
  <si>
    <t>1. Planning van de 3kV verkeersplannen zijn nog niet gedeeld (mogelijk raakvlak met andere projecten van de gemeente)</t>
  </si>
  <si>
    <t>1. Werkzaamheden worden vertraagd doordat stakeholders niet meewerken;
2. Extra overlegrondes en herplanning zijn noodzakelijk, met extra kosten;</t>
  </si>
  <si>
    <t xml:space="preserve">Verkeersplannen zijn nog niet gedeeld met de gemeente. </t>
  </si>
  <si>
    <t>1. Warm contact houden met de Gemeente
2. Planning tijdig opstellen
3. Kritisch kijken of planning haalbaar is
4. Planning (opnieuw) delen met gemeente</t>
  </si>
  <si>
    <t>1. Isabel
2. Wvb
3. Wvb
4. Isabel</t>
  </si>
  <si>
    <t>Onduidelijk welke projecte de gemeente nog meer heeft</t>
  </si>
  <si>
    <t>Totstandkoming NAOK duurt langer dan gedacht</t>
  </si>
  <si>
    <t>1. Ontbrekende of onbekende informatie
2. Vertraagde aanlevering van informatie</t>
  </si>
  <si>
    <t>1. Verlate GSU
2. Verlate IBN</t>
  </si>
  <si>
    <t>1. Tijdige inventarisatie benodigde documenten voor NAOK
2. Tijdig starten.</t>
  </si>
  <si>
    <t>Bestandslocaties opleverdossier onduidelijk / versnipperd</t>
  </si>
  <si>
    <t xml:space="preserve">1. Discontinuiteit over de projecten heen
2. Aanmaken 'mapjes' </t>
  </si>
  <si>
    <t>1. Vertraging tollgate
2. Kans op indiening verkeerde informatie
3. Kans op indiening missende informatie</t>
  </si>
  <si>
    <t>1. Vooraf mappen klaarzetten
2. Duidelijke instructies en kaders voor gebruik SharePoint</t>
  </si>
  <si>
    <t>Informatie vanuit DRILCON wordt niet tijdig opgeleverd voor opleveren DO</t>
  </si>
  <si>
    <t>1. Druk uitoefenen en nut en noodzaak van opleveren tekeningen toelichten aan DRILCON</t>
  </si>
  <si>
    <t>1. Thomas Snoep</t>
  </si>
  <si>
    <t>1. 10-04-2025</t>
  </si>
  <si>
    <t>De efficientie van de samenwerking tussen verschillende disciplines verloopt niet optimaal.</t>
  </si>
  <si>
    <t>1. Structureel aandacht voor processen en check hierop
2. Clearly en planning delen op het scherm
3. Producten eerder voorleggen / valideren</t>
  </si>
  <si>
    <t>1. Jos Verstappen
2. PM
3. TM</t>
  </si>
  <si>
    <t>Belastbaarheidsberekeningen zijn niet voor GSU uitgevoerd.</t>
  </si>
  <si>
    <t>1. Keuze maken om een Boorbuis onderwater te zetten
2. Keuze maken om Dikkere diameter (van 240 naar 630) toe te passen. 
3. Controleren of bij het project een belastbaarheidsberekening moet worden uitgevoerd bij Reimer Lap</t>
  </si>
  <si>
    <t>1. Isabel Gheza
2. Isabel Gheza
3. Isabel Gheza</t>
  </si>
  <si>
    <t>1. 9-05-2025
2. 9-05-2025
3. 9-05-2025</t>
  </si>
  <si>
    <t xml:space="preserve">Data waarop nieuwe stations worden geplaatst worden niet gehaald  </t>
  </si>
  <si>
    <t xml:space="preserve">1. Stations waar ruggstreeppad is gevestigd los halen uit de aanvraag voor inlussen van de kabels bij de stations. 
2. In BTO mogelijke vertraging doornemen -&gt; Wordt in weeklys behandeld.
3. Onderzoeken of Stations  al wel te plaatsen zijn (zonder sleuven) </t>
  </si>
  <si>
    <t>1. Jarno Sman
2. Johan van Dronkelaar
3. Thijs Baauw</t>
  </si>
  <si>
    <t>1. 8-10-2025
2. Gereed
3. 8-7-2025</t>
  </si>
  <si>
    <t>MSR zijn niet tijdig geplaatst voor het opvolgen vanuit de uitvoering (inlussen van de kabel)</t>
  </si>
  <si>
    <t>Onderverdeeld in losse risico's</t>
  </si>
  <si>
    <t>1. Bij perceeleigenaar op gesprek gaan over de te plaatsen MSR'en 
2. Stationswerken pas laten starten bij ondertekenen grondaankoop.
3. In de planning rekening houden met 14 weken GR en 6 weken navolgend voor het plaatsen van de stations
4. Bij perceeleigenaar (irt weerstand tegen bomenkap) om tafel voor locatiebepaling grondaankoop
5. Indien 1 overblijft wel overgaan naar IBN, 1 onder restwerk scharen</t>
  </si>
  <si>
    <t>1. Jarno Sman
2. Jarno Sman
3. Johan van Dronkelaar
4. Jarno Sman
5. Martin Korteschiel</t>
  </si>
  <si>
    <t>1.Gereed
2. Gereed.
3. Gereed
4. 3-10-2025
5. 1-7-2026</t>
  </si>
  <si>
    <t>Bedieningshandelingen zijn niet voldoende meegenomen in de planning</t>
  </si>
  <si>
    <t>1. Indienen van afwijking</t>
  </si>
  <si>
    <t xml:space="preserve">Raakvlak met Gemeente Hollands Kroon is ingrijpender dan verwacht </t>
  </si>
  <si>
    <t xml:space="preserve">1. Uitvoeringsplanning afstemmen om te kijken of vanaf tegenovergestelde zijde kan worden gestart met de uitvoering. 
2. Onderzoeken of het mogelijk is om gedeeltelijk werkzaamheden uit te voeren om werk te borgen. 
3. Voorgaand contact met gemeente onderzoeken op mogelijke raakvlakken. </t>
  </si>
  <si>
    <t>1. Thomas Snoep
2. Wouter Duif
3. Peter Joustra</t>
  </si>
  <si>
    <t>1. 16-04-2025
2. 09-04-2025
1. 1-05-2025</t>
  </si>
  <si>
    <t>Gedurende het ZRO proces vinden er nog wijzigingen aan ZR tekeningen plaats.</t>
  </si>
  <si>
    <t xml:space="preserve">1. ontwerp van opvolgende (deel)tracés verder te engineeren voor opleveren huidig tracé om wijzigingen in aansluitingen te voorkomen. 
2. Via het aanspreekpunt vanuit Techniek sturen op het al verder doorontwerpen van de opvolgende tracés 
3. Vastleggen hoe eisen en wensen van stakeholders worden geregistreerd en tussen OM en TM worden gedeeld. 
4. Werkinstructie / Proces voor een goedgekeurde design-freeze na tollgate DO op het ontwerp.
</t>
  </si>
  <si>
    <t xml:space="preserve">Gemeente keurt de vergunning niet in een keer goed. </t>
  </si>
  <si>
    <t>1. Vergunning tijdig indienen
2. Overleg met Gemeente om te achterhalen of lange duur procedure vanwege capaciteitsgebrek of afkeur van punten plaatsvind.</t>
  </si>
  <si>
    <t>1. Isabel Gheza
2. Isabel Gheza</t>
  </si>
  <si>
    <t>1. Gereed
2. Gereed</t>
  </si>
  <si>
    <t>Er is geen gedegen dossieroverdracht vanuit omgeving mogelijk naar G&amp;R</t>
  </si>
  <si>
    <t>Nieuwe vergunning nodig voor 3kV verwijderen</t>
  </si>
  <si>
    <t>1. Het verwijderen van de 3kV infrastructuur valt buiten de scope van de reeds verkregen vergunningen;
2. Bevoegd gezag stelt aanvullende eisen aan het amoveringsproces;
3. Vergunningsaanvraag voor amovering niet tijdig ingediend door late projectbesluitvorming.</t>
  </si>
  <si>
    <t>1. Langere doorlooptijd door het doorlopen van een aanvullende vergunningsprocedure;
2. Vertraging in de uitvoering van de 3kV werkzaamheden;
3. Extra kosten door stilstand, administratieve lasten en herplanning.</t>
  </si>
  <si>
    <t>Isabel uitzoeken of vergunning verlengd kan worden</t>
  </si>
  <si>
    <t>De vergunning voor het grond ontwateren  wordt niet verleend om te kunnen starten met de uitvoering</t>
  </si>
  <si>
    <t>1. Vergunning tijdig indienen</t>
  </si>
  <si>
    <t>De vergunning voor het leggen,  verleggen, vervangen of repareren van de kabel ten behoeve aan bodemverontreiniging wordt niet verleend voor het kunnen starten met de uitvoering</t>
  </si>
  <si>
    <t>1. Controleren of melding 4 weken van te voren door movares bodem wordt gemaakt</t>
  </si>
  <si>
    <t>1. Isabel</t>
  </si>
  <si>
    <t>De vergunning omtrent activiteit aan de dam of duiker is niet op tijd verkregen om met de uitvoering te kunnen starten</t>
  </si>
  <si>
    <t>vervallen</t>
  </si>
  <si>
    <t>De vergunning rondom activiteit van Flora en Fauna is niet op tijd verkregen om te kunnen starten met de uitvoering</t>
  </si>
  <si>
    <t>De grondaankoop voor MSR-12 is niet tijdig verkregen waardoor het station niet kan worden geplaatst</t>
  </si>
  <si>
    <t>De grondaankoop voor MSR-6 is niet tijdig verkregen waardoor het station niet kan worden geplaatst</t>
  </si>
  <si>
    <t>1.  Conctact met back-office medewerker om continu te bevragen om de stukken te publiceren</t>
  </si>
  <si>
    <t>De grondaankoop voor MSR-9 is niet tijdig verkregen waardoor het station niet kan worden geplaatst</t>
  </si>
  <si>
    <t xml:space="preserve">1. Alternatief uitwerken indien perceeleigenaar niet tekent
</t>
  </si>
  <si>
    <t>1.Gereed</t>
  </si>
  <si>
    <t>De grondaankoop voor MSR-1 is niet tijdig verkregen waardoor het station niet kan worden geplaatst</t>
  </si>
  <si>
    <t xml:space="preserve">1. Alternatief ontwerp uitwerken. </t>
  </si>
  <si>
    <t>1.20-11-2025</t>
  </si>
  <si>
    <t>De grondaankoop voor MSR-10 is niet tijdig verkregen waardoor het station niet kan worden geplaatst</t>
  </si>
  <si>
    <t>De grondaankoop voor MSR-5 is niet tijdig verkregen waardoor het station niet kan worden geplaatst</t>
  </si>
  <si>
    <t>De grondaankoop voor MSR-13 is niet tijdig verkregen waardoor het station niet kan worden geplaatst</t>
  </si>
  <si>
    <t>De opstal voor de boring is niet tijdig verkregen waardoor het station niet kan worden geplaatst</t>
  </si>
  <si>
    <t>Er treedt een storing op bij de 3kV kabels</t>
  </si>
  <si>
    <t>1. Verouderde kabelinfrastructuur met verhoogde faalkans door materiaaldegradatie;
2. Beschadiging van de 3kV kabels door graaf- of boorwerkzaamheden in de nabijheid van het bestaande net;
3. Onvoldoende redundantie in het bestaande 3kV netwerk waardoor een enkelvoudige storing direct leidt tot stagnatie van het project.</t>
  </si>
  <si>
    <t>1. Project stagneert totdat de storing wordt opgelost;
2. Extra kosten voor noodmaatregelen en herstelwerkzaamheden;
3. IBN datum verschuift door onvoorziene uitvoeringsonderbreking.</t>
  </si>
  <si>
    <t>Overgenomen uit risicodossier Zuiderdijkweg</t>
  </si>
  <si>
    <t>1. De nieuwe situatie in dienst zetten voordat de oude situatie wordt geamoveerd;
2. Regelmatige inspectie van de 3kV kabels in de nabijheid van de werkzaamheden;
3. Protocol opstellen voor directe melding en respons bij storingen.</t>
  </si>
  <si>
    <t>GIS-afwijkingen bij huisaansluitingen vereisen aanpassing van de uitvoeringsmethode</t>
  </si>
  <si>
    <t>1. Onjuiste of verouderde gegevens in het GIS-portaal, waardoor de feitelijke ligging of uitvoering afwijkt;
2. Wijzigingen in het verleden (bijv. verleggingen of aanpassingen) die niet zijn verwerkt in het GIS-systeem;
3. Beperkt inzicht in klantspecifieke situaties (bijv. particuliere aanpassingen op eigen terrein).</t>
  </si>
  <si>
    <t>1. Aanpassing van de werkmethode tijdens de uitvoering, wat kan leiden tot ad-hoc oplossingen;
2. Vertraging van werkzaamheden door extra afstemming en herontwerp;
3. Risico op fouten of schade aan huisaansluitingen of particuliere eigendommen.</t>
  </si>
  <si>
    <t>1. Verificatie van GIS-gegevens met veldinspectie vóór start van werkzaamheden;
2. Afstemming met Liander bij twijfel of afwijkingen ten opzichte van GIS;
3. Scenario's uitwerken in werkplannen voor mogelijke afwijkende aansluitingen.</t>
  </si>
  <si>
    <t>Herstellen van drainage is extensiever dan verwacht</t>
  </si>
  <si>
    <t>1. Onvolledig inzicht in de bestaande drainagesituatie (ligging, opbouw, staat en omvang niet volledig bekend);
2. Aanwezigheid van oudere of niet-gedocumenteerde drainage die tijdens uitvoering wordt aangetroffen;
3. Grotere verstoring van de ondergrond dan vooraf ingeschat door graafwerk, boringen of materieelinzet.</t>
  </si>
  <si>
    <t>1. Extra herstelwerkzaamheden en kosten voor het opnieuw aanleggen of uitbreiden van drainage;
2. Vertraging van de uitvoering, doordat gronden niet tijdig herstelbaar of begaanbaar zijn;
3. Ontevredenheid of claims van perceeleigenaren door verminderde ontwatering en gebruiksbeperkingen.</t>
  </si>
  <si>
    <t>Overgenomen uit risicodossier Zuiderdijkweg. Relevant vanwege het agrarische karakter van het werkgebied.</t>
  </si>
  <si>
    <t>1. Inventariseren en vastleggen van bekende drainagesystemen tijdens voorbereiding (incl. input van perceeleigenaar);
2. Opnemen van drainageherstel als expliciet onderdeel van perceelafspraken en werkplannen;
3. Reserveren van tijd en budget in planning voor mogelijk aanvullend drainageherstel.</t>
  </si>
  <si>
    <t>Vergunningseisen zijn onbekend bij de uitvoerende partij</t>
  </si>
  <si>
    <t>1. Vergunningen en bijbehorende voorwaarden niet expliciet gecommuniceerd vanuit projectmanagement;
2. Vergunningen pas laat verkregen of gewijzigd zonder doorvertaling naar uitvoering;
3. Onduidelijkheid over wie verantwoordelijk is voor het borgen van vergunningseisen;
4. Uitvoerende partij onvoldoende betrokken in voorbereidingsfase.</t>
  </si>
  <si>
    <t>1. Uitvoeren van werkzaamheden in strijd met vergunningvoorwaarden;
2. Stillegging van het werk door bevoegd gezag (gemeente, omgevingsdienst);
3. Boetes, dwangsommen of intrekken van vergunning;
4. Vertraging en extra kosten.</t>
  </si>
  <si>
    <t>1. Vergunningen en voorwaarden structureel bespreken in de werkvoorbereiding;
2. Opstellen van een vergunningenoverzicht met kernvoorwaarden per werkzaamheid;
3. Benoemen van één verantwoordelijke voor vergunningmanagement binnen het project;
4. Vergunningseisen opnemen in uitvoeringsplannen, V&amp;G-plan en werkplannen.</t>
  </si>
  <si>
    <t>Broedende vogels zorgen voor aanvullende of beperkende maatregelen bij de uitvoering</t>
  </si>
  <si>
    <t>1. Aanwezigheid van broedende vogels binnen of nabij het werkgebied tijdens het broedseizoen;
2. Onvoldoende ecologisch vooronderzoek of verouderde quickscan die de actuele situatie niet dekt;
3. Wijzigingen in planning of werkgebied, waardoor werkzaamheden in het broedseizoen plaatsvinden.</t>
  </si>
  <si>
    <t>1. Beperking of stillegging van werkzaamheden door wettelijke beschermingsregels;
2. Aanpassing van werkmethoden of planning, met vertraging tot gevolg;
3. Extra kosten voor aanvullend ecologisch onderzoek, begeleiding of mitigerende maatregelen.</t>
  </si>
  <si>
    <t>Overgenomen uit risicodossier Zuiderdijkweg. Relevant naast bestaand rugstreeppadrisico.</t>
  </si>
  <si>
    <t>1. Tijdig uitvoeren en beoordelen van ecologisch (broedvogel)onderzoek passend bij planning en werkgebied;
2. Afstemmen van planning op het broedseizoen, waar mogelijk werkzaamheden verplaatsen;
3. Ecologische randvoorwaarden opnemen in werkplannen en V&amp;G-plan, inclusief verboden zones en perioden.</t>
  </si>
  <si>
    <t>Aeriusberekening valt ongunstig uit</t>
  </si>
  <si>
    <t>1. Te hoge stikstofuitstoot door inzet van dieselmaterieel tijdens de uitvoering in de nabijheid van Natura 2000-gebieden;
2. Onvolledige of verouderde AERIUS-berekening die niet alle emissiebronnen of werkfasen dekt;
3. Wijzigingen in de materieellijst of het tracé na de initiële berekening, waardoor de uitkomst ongeldig wordt.</t>
  </si>
  <si>
    <t>1. Een aanvullende Natura 2000-vergunning is vereist, wat de doorlooptijd van het project aanzienlijk verlengt;
2. Verplichte inzet van elektrisch materieel, met hogere kosten en beperktere beschikbaarheid;
3. Vertraging van de uitvoering doordat de AERIUS-berekening opnieuw moet worden ingediend en beoordeeld.</t>
  </si>
  <si>
    <t>1. AERIUS-berekening vroegtijdig uitvoeren en toetsen aan de actuele en definitieve materieellijst;
2. Inzet van elektrisch materieel als standaard uitgangspunt hanteren om het stikstofrisico te minimaliseren;
3. Afstemming zoeken met de provincie over de beoordeling van de AERIUS-uitkomst voordat formeel wordt ingediend.</t>
  </si>
  <si>
    <t>Hoeveelheid te rooien kabels groter dan verwacht</t>
  </si>
  <si>
    <t>1. Onvolledige of verouderde registratie van bestaande kabels in GIS, as-built-tekeningen of archieven;
2. Historische kabels en buiten gebruik gestelde netten die niet (meer) formeel zijn vastgelegd;
3. Afwijkingen tussen ontwerp en werkelijke situatie die pas tijdens uitvoering zichtbaar worden.</t>
  </si>
  <si>
    <t>1. Extra werkzaamheden en vertraging door aanvullende rooiactiviteiten;
2. Toename van kosten (arbeid, materieel, afvoer en verwerking van kabels);
3. Verhoogd risico op schade of veiligheidsincidenten bij onverwachte kabels in de ondergrond.</t>
  </si>
  <si>
    <t>1. Grondige analyse van beschikbare kabelregistraties (GIS, revisies, historische gegevens) vooraf;
2. Verificatie in het veld door proefsleuven of inspecties op kritieke locaties;
3. Reserveren van tijd en budget in planning voor mogelijk extra rooiactiviteiten.</t>
  </si>
  <si>
    <t>Er ontstaat een bezwaarprocedure op omgevingsvergunning gemeente voor MSR Schelpenbolweg 11 en 15</t>
  </si>
  <si>
    <t>1. Omwonenden of andere partijen maken bezwaar tegen de verleende omgevingsvergunning;
2. Onvoldoende proactieve communicatie richting omgeving over de werkzaamheden;
3. Stakeholders zijn het niet eens met de gestelde vergunningvoorwaarden.</t>
  </si>
  <si>
    <t>1. Vertraging door de bezwaarprocedure (wettelijke behandeltermijnen);
2. Risico op schorsing van de vergunning in afwachting van de uitkomst;
3. Extra kosten voor juridische begeleiding en herplanning.</t>
  </si>
  <si>
    <t>Kwantificeertabel Kleine projecten</t>
  </si>
  <si>
    <t>Schaal</t>
  </si>
  <si>
    <t>Rekenwaarde kans</t>
  </si>
  <si>
    <t>Geen impact</t>
  </si>
  <si>
    <t>&lt; 5 %</t>
  </si>
  <si>
    <t>&lt; 0.5 week</t>
  </si>
  <si>
    <t>&lt; € 5.000</t>
  </si>
  <si>
    <t>Vragen binnen projectteam zonder vervolgacties</t>
  </si>
  <si>
    <t>Gering incident, maar geen EHBO nodig</t>
  </si>
  <si>
    <t>Interne aandacht </t>
  </si>
  <si>
    <t>5-15%</t>
  </si>
  <si>
    <t>0.5 - 1 weken</t>
  </si>
  <si>
    <t>€ 5.000 - €10.000</t>
  </si>
  <si>
    <t>Onderzoek naar afwijking nodig, product voldoet aan specs en functionaliteitseis</t>
  </si>
  <si>
    <t>Incident met gering gevolg, EHBO nodig</t>
  </si>
  <si>
    <t>Lokale media-aandacht </t>
  </si>
  <si>
    <t>15-25%</t>
  </si>
  <si>
    <t>1 - 2 weken</t>
  </si>
  <si>
    <t>€ 10.000 - € 25.000</t>
  </si>
  <si>
    <t>Product wijkt af van afspraak, maar voldoet aan functionaliteitseis</t>
  </si>
  <si>
    <t>Incident met medische behandeling door arts</t>
  </si>
  <si>
    <t>Onrust in sector zonder  media-aandacht </t>
  </si>
  <si>
    <t>25-35%</t>
  </si>
  <si>
    <t>2 - 4 weken</t>
  </si>
  <si>
    <t>€ 25.000 - € 50.000</t>
  </si>
  <si>
    <t>Aanpassing/herstel  Direct mogelijk waarna product voldoet aan functionaliteitseis</t>
  </si>
  <si>
    <t>Incident met grote impact. Verzuim door letsel</t>
  </si>
  <si>
    <t>Regionale media-aandacht </t>
  </si>
  <si>
    <t>35-45%</t>
  </si>
  <si>
    <t>4 - 6 weken</t>
  </si>
  <si>
    <t>€ 50.000 -  € 75.000</t>
  </si>
  <si>
    <t>Aanpassing / herstel is mogelijk, maar blijft zichtbaar. Extra controles noodzakelijk voor aanvaarding</t>
  </si>
  <si>
    <t>Urgent incident met grote impact met verzuim &gt;7 weken </t>
  </si>
  <si>
    <t>Nationale media-aandacht, beperkte tijd</t>
  </si>
  <si>
    <t>45-55%</t>
  </si>
  <si>
    <t>6 - 8 weken</t>
  </si>
  <si>
    <t>€ 75.000 -  € 100.000</t>
  </si>
  <si>
    <t>Aanpassing / herstel mogelijk indien specificaties en/of ontwerpen aangepast wordt</t>
  </si>
  <si>
    <t>Blijvend letsel </t>
  </si>
  <si>
    <t>Nationale media, aanzienlijk veel negatieve aandacht </t>
  </si>
  <si>
    <t>55-85%</t>
  </si>
  <si>
    <t>&gt; 2 maanden</t>
  </si>
  <si>
    <t>&gt; € 100.000</t>
  </si>
  <si>
    <t>Aanpassing/herstel niet mogelijk. Functionaliteit kan niet geleverd worden  </t>
  </si>
  <si>
    <t>Dodelijk ongeval </t>
  </si>
  <si>
    <t>(Inter)nationale media- aandacht, langere tijd </t>
  </si>
  <si>
    <t>Kwantificeertabel Middelgrote projecten</t>
  </si>
  <si>
    <t>€5.000.000 - €12.000.000</t>
  </si>
  <si>
    <t>&lt; 1 week</t>
  </si>
  <si>
    <t>&lt; € 10.000</t>
  </si>
  <si>
    <t>€ 10.000 - €25.000</t>
  </si>
  <si>
    <t>€ 25.000 - € 100.000</t>
  </si>
  <si>
    <t>1 - 2 maanden</t>
  </si>
  <si>
    <t>€ 100.000 - € 150.000</t>
  </si>
  <si>
    <t>2 - 3 maanden</t>
  </si>
  <si>
    <t>€ 150.000 -  € 225.000</t>
  </si>
  <si>
    <t>3 - 4 maanden</t>
  </si>
  <si>
    <t>€ 225.000 -  € 300.000</t>
  </si>
  <si>
    <t>&gt; 4 maanden</t>
  </si>
  <si>
    <t>&gt; € 300.000</t>
  </si>
  <si>
    <t>Kwantificeertabel Grote projecten</t>
  </si>
  <si>
    <t>&lt; € 20.000</t>
  </si>
  <si>
    <t>1 - 4 weken</t>
  </si>
  <si>
    <t>€ 20.000 - €50.000</t>
  </si>
  <si>
    <t>€ 50.000 - € 150.000</t>
  </si>
  <si>
    <t>€ 150.000 - € 250.000</t>
  </si>
  <si>
    <t>€ 250.000 -  € 375.000</t>
  </si>
  <si>
    <t>4 - 6 maanden</t>
  </si>
  <si>
    <t>€ 375.000 -  € 500.000</t>
  </si>
  <si>
    <t>&gt; 6 maanden</t>
  </si>
  <si>
    <t>&gt; € 500.000</t>
  </si>
  <si>
    <t xml:space="preserve">Status </t>
  </si>
  <si>
    <t>Risico-eigenaar / Actiehouder</t>
  </si>
  <si>
    <t>Concept</t>
  </si>
  <si>
    <t xml:space="preserve">Vul aan </t>
  </si>
  <si>
    <t>Opgetreden</t>
  </si>
  <si>
    <t>Zie het Risicomanagementbeheersplan voor meer detail</t>
  </si>
  <si>
    <t>Risico-omschrijving</t>
  </si>
  <si>
    <t>Risico-ID</t>
  </si>
  <si>
    <t>Uniek traceernummer per risico (doorlopend genummerd)</t>
  </si>
  <si>
    <t>Omschrijving van de ongewenste gebeurtenis</t>
  </si>
  <si>
    <t>Oorzaken</t>
  </si>
  <si>
    <t>Wat zijn de oorzaken en wat leidt ertoe dat de ongewenste gebeurtenis optreedt</t>
  </si>
  <si>
    <t>Gevolgen</t>
  </si>
  <si>
    <t>Wat is de impact indien het risico optreedt, dit altijd in relatie met tijd en geld</t>
  </si>
  <si>
    <t>Huidige stand van zaken, context en geschiedenis</t>
  </si>
  <si>
    <t>Concept: Het risico is benoemd, maar er is nog niks mee gedaan. Het is van belang om het risico zo snel mogelijk uit te werken.</t>
  </si>
  <si>
    <t xml:space="preserve">Voorstel: Het risico is met de discipline eigenaar uitgewerkt en volledig. Het moet nog voor goedkeuring/ consensus door het BTO. </t>
  </si>
  <si>
    <t xml:space="preserve">Vigerend: Het risico is besproken en geaccepteerd in het BTO. Er is consensus bereikt en het risico is gealloceerd. </t>
  </si>
  <si>
    <t xml:space="preserve">Beheerst: Het risico is vigerend én de beheersmaatregelen zijn genomen. </t>
  </si>
  <si>
    <t>Vervallen: Bijvoorbeeld als de kans nul is of als het risico is afgehandeld.</t>
  </si>
  <si>
    <t>Opgetreden: Het risico manifesteert zich.</t>
  </si>
  <si>
    <t>De persoon verantwoordelijk voor het monitoren van het risico (dit kan afwijken van de eigenaren van beheersmaatregelen)</t>
  </si>
  <si>
    <t>Welke organisatie draagt de gevolgen indien het risico optreedt</t>
  </si>
  <si>
    <t>Projectfase</t>
  </si>
  <si>
    <t>In welke fase kan het risico optreden</t>
  </si>
  <si>
    <t>Risicobeheersing</t>
  </si>
  <si>
    <t>Beheersmaatregelen</t>
  </si>
  <si>
    <t>Welke maatregelen worden, of kunnen worden genomen om zowel de kans (preventieve maatregelen) of de impact (Correctieve maatregelen) te mitigeren. Een beheersmaatregel staat altijd in relatie tot een oorzaak of gevolg, niet direct tot het risico;</t>
  </si>
  <si>
    <t>De persoon die de beheersmaatregel in werking moet stellen;</t>
  </si>
  <si>
    <t>Deadline</t>
  </si>
  <si>
    <t>Het moment wanneer de beheersmaatregel afgerond moet zijn of wanneer er meer informatie over het uitvoeren van de beheersmaatregel beschikbaar is om deze verder in te vullen</t>
  </si>
  <si>
    <t>Opmerkingen/conclusie</t>
  </si>
  <si>
    <t>Wat uiteindelijk uit de beheersmaatregel is gekomen, en of dit een gewenst effect heeft gehad</t>
  </si>
  <si>
    <t>Projectgrootte (o.b.v. TSB)</t>
  </si>
  <si>
    <t>Kleine projecten</t>
  </si>
  <si>
    <t>&lt; €5.000.000</t>
  </si>
  <si>
    <t>Middel projecten</t>
  </si>
  <si>
    <t>Grote projecten</t>
  </si>
  <si>
    <t>&gt; €12.000.000</t>
  </si>
  <si>
    <t>Deelproject</t>
  </si>
  <si>
    <t>DP2 (3kV)</t>
  </si>
  <si>
    <t>DP1 (Hoofdtracé)</t>
  </si>
  <si>
    <t>Beiden</t>
  </si>
  <si>
    <t>Opmerking ABO 27-05-2026: De stations zijn allemaal gefabriceerd en staan klaar bij de leverancier. Ik denk dat dit risico kan komen te vervallen.</t>
  </si>
  <si>
    <t>Gereed</t>
  </si>
  <si>
    <t>03-06-2026</t>
  </si>
  <si>
    <t>1. Gereed
2. Loopt</t>
  </si>
  <si>
    <t>1. Kernteam
2. Johan</t>
  </si>
  <si>
    <t>Er is niet tijdig een WV'er aangehaakt voor start uitvoering en behoudt tijdens uitvoering</t>
  </si>
  <si>
    <t>1. Gereed
2. Loopt
3. Loopt</t>
  </si>
  <si>
    <t>Specifiek over inschrijfstaat.</t>
  </si>
  <si>
    <t>1. Open
2. Open
3. Open</t>
  </si>
  <si>
    <t>1. Uitgewerkte werkplannen per activiteit opstellen vóór start uitvoering;
2. Korte dagelijkse afstemming (stand-up/toolbox) op de werkvloer over voortgang en knelpunten;
3. Prestatie-indicatoren bijhouden om inefficiëntie vroegtijdig te signaleren.
4. Regelmatig projectbezoek toezichthouder</t>
  </si>
  <si>
    <t>1. Loopt
2. Loopt
3. Loopt
4. Loopt (zit in veligheidsbeleid)</t>
  </si>
  <si>
    <t xml:space="preserve">03-06-2026: Er is nu WV'er die meekijkt. Afspraak met Aldo voor WV'er voor 3kV deel. </t>
  </si>
  <si>
    <t xml:space="preserve">03-06-2026: Discussie wordt kleiner door ervaring uit andere projecten. Projectspecfiek stemt Johan af met Aldo. Prijsafspraken moeten nog gemaakt worden. </t>
  </si>
  <si>
    <t xml:space="preserve">03-06-2026: Gekoppeld aan olieprijs. Restrisico voornamelijk als 2 projecten stagneren en moeten worden herpland. </t>
  </si>
  <si>
    <t>03-06-2026: Restrisico: Werkplannen worden niet gelezen en geïmplementeerd door personen/onderaannemers</t>
  </si>
  <si>
    <t>VIgerend</t>
  </si>
  <si>
    <t>1. Afgerond
2. Afgerond</t>
  </si>
  <si>
    <t>1. Open
2. Afgerond</t>
  </si>
  <si>
    <t>1. Afgerond
2. Ongoing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</si>
</sst>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2]\ * #,##0.00_ ;_ [$€-2]\ * \-#,##0.00_ ;_ [$€-2]\ * \-??_ ;_ @_ "/>
    <numFmt numFmtId="165" formatCode="&quot;€ &quot;#,##0.00"/>
    <numFmt numFmtId="166" formatCode="&quot;€ &quot;#,##0"/>
    <numFmt numFmtId="167" formatCode="_ &quot;€ &quot;* #,##0_ ;_ &quot;€ &quot;* \-#,##0_ ;_ &quot;€ &quot;* \-_ ;_ @_ "/>
    <numFmt numFmtId="168" formatCode="&quot;€ &quot;#,##0;[Red]&quot;€ -&quot;#,##0"/>
  </numFmts>
  <fonts count="23" x14ac:knownFonts="1">
    <font>
      <sz val="11"/>
      <color theme="1"/>
      <name val="Calibri"/>
      <family val="2"/>
      <charset val="1"/>
    </font>
    <font>
      <sz val="11"/>
      <color theme="1"/>
      <name val="Arial"/>
      <family val="2"/>
      <charset val="1"/>
    </font>
    <font>
      <b/>
      <sz val="11"/>
      <color theme="1"/>
      <name val="Arial"/>
      <family val="2"/>
      <charset val="1"/>
    </font>
    <font>
      <b/>
      <sz val="10"/>
      <color theme="1"/>
      <name val="Arial"/>
      <family val="2"/>
      <charset val="1"/>
    </font>
    <font>
      <sz val="11"/>
      <name val="Aptos Narrow"/>
      <family val="2"/>
      <charset val="1"/>
    </font>
    <font>
      <sz val="10"/>
      <name val="Arial"/>
      <family val="2"/>
      <charset val="1"/>
    </font>
    <font>
      <sz val="10"/>
      <color theme="1"/>
      <name val="Arial"/>
      <family val="2"/>
      <charset val="1"/>
    </font>
    <font>
      <sz val="11"/>
      <color rgb="FFFF0000"/>
      <name val="Arial"/>
      <family val="2"/>
      <charset val="1"/>
    </font>
    <font>
      <b/>
      <sz val="11"/>
      <color theme="0"/>
      <name val="Arial"/>
      <family val="2"/>
      <charset val="1"/>
    </font>
    <font>
      <b/>
      <sz val="10"/>
      <color theme="0"/>
      <name val="Arial"/>
      <family val="2"/>
      <charset val="1"/>
    </font>
    <font>
      <b/>
      <strike/>
      <sz val="11"/>
      <color theme="1"/>
      <name val="Arial"/>
      <family val="2"/>
      <charset val="1"/>
    </font>
    <font>
      <b/>
      <sz val="10"/>
      <name val="Arial"/>
      <family val="2"/>
      <charset val="1"/>
    </font>
    <font>
      <strike/>
      <sz val="10"/>
      <name val="Arial"/>
      <family val="2"/>
      <charset val="1"/>
    </font>
    <font>
      <sz val="10"/>
      <color rgb="FF000000"/>
      <name val="Arial"/>
      <family val="2"/>
      <charset val="1"/>
    </font>
    <font>
      <sz val="10"/>
      <color theme="0"/>
      <name val="Arial"/>
      <family val="2"/>
      <charset val="1"/>
    </font>
    <font>
      <strike/>
      <sz val="10"/>
      <color theme="1"/>
      <name val="Arial"/>
      <family val="2"/>
      <charset val="1"/>
    </font>
    <font>
      <sz val="14"/>
      <color rgb="FFFF0000"/>
      <name val="Calibri"/>
      <family val="2"/>
      <charset val="1"/>
    </font>
    <font>
      <b/>
      <sz val="16"/>
      <color theme="1"/>
      <name val="Arial"/>
      <family val="2"/>
      <charset val="1"/>
    </font>
    <font>
      <sz val="12"/>
      <color theme="1"/>
      <name val="Arial"/>
      <family val="2"/>
      <charset val="1"/>
    </font>
    <font>
      <b/>
      <sz val="14"/>
      <color rgb="FF000000"/>
      <name val="Calibri"/>
      <family val="2"/>
      <charset val="1"/>
    </font>
    <font>
      <sz val="14"/>
      <color rgb="FF000000"/>
      <name val="Calibri"/>
      <family val="2"/>
      <charset val="1"/>
    </font>
    <font>
      <b/>
      <sz val="11"/>
      <color theme="1"/>
      <name val="Calibri"/>
      <family val="2"/>
      <charset val="1"/>
    </font>
    <font>
      <sz val="11"/>
      <color rgb="FFFF0000"/>
      <name val="Calibri"/>
      <family val="2"/>
      <charset val="1"/>
    </font>
  </fonts>
  <fills count="10">
    <fill>
      <patternFill patternType="none"/>
    </fill>
    <fill>
      <patternFill patternType="gray125"/>
    </fill>
    <fill>
      <patternFill patternType="solid">
        <fgColor rgb="FF375623"/>
        <bgColor rgb="FF333300"/>
      </patternFill>
    </fill>
    <fill>
      <patternFill patternType="solid">
        <fgColor rgb="FF00B0F0"/>
        <bgColor rgb="FF33CCCC"/>
      </patternFill>
    </fill>
    <fill>
      <patternFill patternType="solid">
        <fgColor theme="0" tint="-4.9989318521683403E-2"/>
        <bgColor rgb="FFFFFFFF"/>
      </patternFill>
    </fill>
    <fill>
      <patternFill patternType="solid">
        <fgColor rgb="FFFFFFFF"/>
        <bgColor rgb="FFF2F2F2"/>
      </patternFill>
    </fill>
    <fill>
      <patternFill patternType="solid">
        <fgColor theme="1"/>
        <bgColor rgb="FF003300"/>
      </patternFill>
    </fill>
    <fill>
      <patternFill patternType="solid">
        <fgColor rgb="FFDCE6F1"/>
        <bgColor rgb="FFF2F2F2"/>
      </patternFill>
    </fill>
    <fill>
      <patternFill patternType="solid">
        <fgColor theme="9" tint="0.59987182226020086"/>
        <bgColor rgb="FFFFC7CE"/>
      </patternFill>
    </fill>
    <fill>
      <patternFill patternType="solid">
        <fgColor theme="0"/>
        <bgColor rgb="FFFFFFFF"/>
      </patternFill>
    </fill>
  </fills>
  <borders count="20">
    <border>
      <left/>
      <right/>
      <top/>
      <bottom/>
      <diagonal/>
    </border>
    <border>
      <left style="thin">
        <color auto="1"/>
      </left>
      <right style="thin">
        <color auto="1"/>
      </right>
      <top style="thin">
        <color auto="1"/>
      </top>
      <bottom style="thin">
        <color auto="1"/>
      </bottom>
      <diagonal/>
    </border>
    <border>
      <left/>
      <right/>
      <top/>
      <bottom style="medium">
        <color auto="1"/>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s>
  <cellStyleXfs count="1">
    <xf numFmtId="0" fontId="0" fillId="0" borderId="0"/>
  </cellStyleXfs>
  <cellXfs count="148">
    <xf numFmtId="0" fontId="0" fillId="0" borderId="0" xfId="0"/>
    <xf numFmtId="0" fontId="0" fillId="0" borderId="1" xfId="0" applyBorder="1" applyAlignment="1">
      <alignment horizontal="center" vertical="center"/>
    </xf>
    <xf numFmtId="0" fontId="9" fillId="2" borderId="3" xfId="0" applyFont="1" applyFill="1" applyBorder="1" applyAlignment="1">
      <alignment horizontal="center" vertical="center" wrapText="1"/>
    </xf>
    <xf numFmtId="0" fontId="1" fillId="0" borderId="0" xfId="0" applyFont="1" applyAlignment="1">
      <alignment vertical="top"/>
    </xf>
    <xf numFmtId="0" fontId="1" fillId="0" borderId="0" xfId="0" applyFont="1" applyAlignment="1">
      <alignment horizontal="center" vertical="top"/>
    </xf>
    <xf numFmtId="0" fontId="1" fillId="0" borderId="0" xfId="0" applyFont="1" applyAlignment="1">
      <alignment horizontal="left" vertical="top"/>
    </xf>
    <xf numFmtId="1" fontId="2" fillId="0" borderId="0" xfId="0" applyNumberFormat="1" applyFont="1" applyAlignment="1">
      <alignment vertical="top"/>
    </xf>
    <xf numFmtId="1" fontId="1" fillId="0" borderId="0" xfId="0" applyNumberFormat="1" applyFont="1" applyAlignment="1">
      <alignment vertical="top"/>
    </xf>
    <xf numFmtId="49" fontId="1" fillId="0" borderId="0" xfId="0" applyNumberFormat="1" applyFont="1" applyAlignment="1">
      <alignment vertical="top"/>
    </xf>
    <xf numFmtId="49" fontId="1" fillId="0" borderId="0" xfId="0" applyNumberFormat="1" applyFont="1" applyAlignment="1">
      <alignment horizontal="left" vertical="top"/>
    </xf>
    <xf numFmtId="164" fontId="1" fillId="0" borderId="0" xfId="0" applyNumberFormat="1" applyFont="1" applyAlignment="1">
      <alignment vertical="top"/>
    </xf>
    <xf numFmtId="0" fontId="3" fillId="0" borderId="1" xfId="0" applyFont="1" applyBorder="1" applyAlignment="1">
      <alignment horizontal="right"/>
    </xf>
    <xf numFmtId="49" fontId="4" fillId="0" borderId="1" xfId="0" applyNumberFormat="1" applyFont="1" applyBorder="1" applyAlignment="1">
      <alignment horizontal="left" vertical="top"/>
    </xf>
    <xf numFmtId="165" fontId="5" fillId="0" borderId="1" xfId="0" applyNumberFormat="1" applyFont="1" applyBorder="1" applyAlignment="1">
      <alignment horizontal="left"/>
    </xf>
    <xf numFmtId="0" fontId="6" fillId="0" borderId="0" xfId="0" applyFont="1"/>
    <xf numFmtId="166" fontId="5" fillId="0" borderId="1" xfId="0" applyNumberFormat="1" applyFont="1" applyBorder="1" applyAlignment="1">
      <alignment horizontal="left" wrapText="1"/>
    </xf>
    <xf numFmtId="1" fontId="1" fillId="0" borderId="0" xfId="0" applyNumberFormat="1" applyFont="1" applyAlignment="1">
      <alignment vertical="top" wrapText="1"/>
    </xf>
    <xf numFmtId="166" fontId="5" fillId="0" borderId="1" xfId="0" applyNumberFormat="1" applyFont="1" applyBorder="1" applyAlignment="1">
      <alignment horizontal="left"/>
    </xf>
    <xf numFmtId="0" fontId="8" fillId="0" borderId="0" xfId="0" applyFont="1" applyAlignment="1">
      <alignment vertical="top"/>
    </xf>
    <xf numFmtId="0" fontId="9" fillId="0" borderId="0" xfId="0" applyFont="1" applyAlignment="1">
      <alignment vertical="top" wrapText="1"/>
    </xf>
    <xf numFmtId="0" fontId="1" fillId="0" borderId="0" xfId="0" applyFont="1" applyAlignment="1">
      <alignment vertical="top" wrapText="1"/>
    </xf>
    <xf numFmtId="0" fontId="10" fillId="0" borderId="0" xfId="0" applyFont="1" applyAlignment="1">
      <alignment horizontal="left" vertical="top"/>
    </xf>
    <xf numFmtId="0" fontId="11" fillId="3" borderId="0" xfId="0" applyFont="1" applyFill="1" applyAlignment="1">
      <alignment horizontal="center" vertical="center"/>
    </xf>
    <xf numFmtId="49" fontId="11" fillId="3" borderId="0" xfId="0" applyNumberFormat="1" applyFont="1" applyFill="1" applyAlignment="1">
      <alignment horizontal="center" vertical="center" wrapText="1"/>
    </xf>
    <xf numFmtId="49" fontId="11" fillId="3" borderId="0" xfId="0" applyNumberFormat="1" applyFont="1" applyFill="1" applyAlignment="1">
      <alignment horizontal="center" vertical="center"/>
    </xf>
    <xf numFmtId="0" fontId="11" fillId="3" borderId="0" xfId="0" applyFont="1" applyFill="1" applyAlignment="1">
      <alignment horizontal="center" vertical="center" wrapText="1"/>
    </xf>
    <xf numFmtId="1" fontId="11" fillId="3" borderId="0" xfId="0" applyNumberFormat="1" applyFont="1" applyFill="1" applyAlignment="1">
      <alignment horizontal="center" vertical="top" textRotation="90"/>
    </xf>
    <xf numFmtId="0" fontId="11" fillId="3" borderId="0" xfId="0" applyFont="1" applyFill="1" applyAlignment="1">
      <alignment horizontal="center" vertical="top" textRotation="90"/>
    </xf>
    <xf numFmtId="0" fontId="11" fillId="3" borderId="0" xfId="0" applyFont="1" applyFill="1" applyAlignment="1">
      <alignment horizontal="center" vertical="top"/>
    </xf>
    <xf numFmtId="0" fontId="11" fillId="3" borderId="0" xfId="0" applyFont="1" applyFill="1" applyAlignment="1">
      <alignment horizontal="center" vertical="top" wrapText="1"/>
    </xf>
    <xf numFmtId="1" fontId="11" fillId="3" borderId="0" xfId="0" applyNumberFormat="1" applyFont="1" applyFill="1" applyAlignment="1">
      <alignment horizontal="center" vertical="center" textRotation="90"/>
    </xf>
    <xf numFmtId="0" fontId="11" fillId="3" borderId="0" xfId="0" applyFont="1" applyFill="1" applyAlignment="1">
      <alignment horizontal="center" vertical="center" textRotation="90"/>
    </xf>
    <xf numFmtId="0" fontId="11" fillId="3" borderId="6" xfId="0" applyFont="1" applyFill="1" applyBorder="1" applyAlignment="1">
      <alignment horizontal="center" vertical="center"/>
    </xf>
    <xf numFmtId="0" fontId="2" fillId="0" borderId="0" xfId="0" applyFont="1" applyAlignment="1">
      <alignment horizontal="left" vertical="center"/>
    </xf>
    <xf numFmtId="0" fontId="5" fillId="5" borderId="1" xfId="0" applyFont="1" applyFill="1" applyBorder="1" applyAlignment="1">
      <alignment horizontal="center" vertical="top" wrapText="1"/>
    </xf>
    <xf numFmtId="49" fontId="5" fillId="0" borderId="1" xfId="0" applyNumberFormat="1" applyFont="1" applyBorder="1" applyAlignment="1">
      <alignment horizontal="center" vertical="top"/>
    </xf>
    <xf numFmtId="0" fontId="5" fillId="0" borderId="1" xfId="0" applyFont="1" applyBorder="1" applyAlignment="1">
      <alignment horizontal="center" vertical="center"/>
    </xf>
    <xf numFmtId="0" fontId="1" fillId="0" borderId="1" xfId="0" applyFont="1" applyBorder="1" applyAlignment="1">
      <alignment horizontal="center" vertical="top"/>
    </xf>
    <xf numFmtId="49" fontId="1" fillId="0" borderId="1" xfId="0" applyNumberFormat="1" applyFont="1" applyBorder="1" applyAlignment="1">
      <alignment horizontal="left" vertical="top"/>
    </xf>
    <xf numFmtId="1" fontId="6" fillId="0" borderId="1" xfId="0" applyNumberFormat="1" applyFont="1" applyBorder="1" applyAlignment="1">
      <alignment horizontal="center" vertical="top"/>
    </xf>
    <xf numFmtId="0" fontId="6" fillId="0" borderId="1" xfId="0" applyFont="1" applyBorder="1" applyAlignment="1">
      <alignment horizontal="center" vertical="top"/>
    </xf>
    <xf numFmtId="0" fontId="1" fillId="0" borderId="0" xfId="0" applyFont="1" applyAlignment="1">
      <alignment vertical="center"/>
    </xf>
    <xf numFmtId="0" fontId="5" fillId="0" borderId="1" xfId="0" applyFont="1" applyBorder="1" applyAlignment="1">
      <alignment horizontal="center" vertical="center" wrapText="1"/>
    </xf>
    <xf numFmtId="49" fontId="5" fillId="0" borderId="1" xfId="0" applyNumberFormat="1" applyFont="1" applyBorder="1" applyAlignment="1">
      <alignment horizontal="center" vertical="center"/>
    </xf>
    <xf numFmtId="0" fontId="6" fillId="0" borderId="1" xfId="0" applyFont="1" applyBorder="1" applyAlignment="1">
      <alignment horizontal="center" vertical="center"/>
    </xf>
    <xf numFmtId="49" fontId="6" fillId="5" borderId="1" xfId="0" applyNumberFormat="1" applyFont="1" applyFill="1" applyBorder="1" applyAlignment="1">
      <alignment horizontal="center" vertical="center" wrapText="1"/>
    </xf>
    <xf numFmtId="1" fontId="6" fillId="0" borderId="1" xfId="0" applyNumberFormat="1" applyFont="1" applyBorder="1" applyAlignment="1">
      <alignment horizontal="center" vertical="center"/>
    </xf>
    <xf numFmtId="0" fontId="6" fillId="0" borderId="1" xfId="0" applyFont="1" applyBorder="1" applyAlignment="1">
      <alignment horizontal="center" vertical="center" wrapText="1"/>
    </xf>
    <xf numFmtId="49" fontId="5" fillId="5" borderId="1" xfId="0" applyNumberFormat="1" applyFont="1" applyFill="1" applyBorder="1" applyAlignment="1">
      <alignment horizontal="center" vertical="center" wrapText="1"/>
    </xf>
    <xf numFmtId="49" fontId="6" fillId="0" borderId="1" xfId="0" applyNumberFormat="1" applyFont="1" applyBorder="1" applyAlignment="1">
      <alignment horizontal="center" vertical="center" wrapText="1"/>
    </xf>
    <xf numFmtId="49" fontId="5" fillId="5" borderId="1" xfId="0" applyNumberFormat="1" applyFont="1" applyFill="1" applyBorder="1" applyAlignment="1">
      <alignment horizontal="center" vertical="top" wrapText="1"/>
    </xf>
    <xf numFmtId="49" fontId="5" fillId="0" borderId="1" xfId="0" applyNumberFormat="1" applyFont="1" applyBorder="1" applyAlignment="1">
      <alignment vertical="center" wrapText="1"/>
    </xf>
    <xf numFmtId="49" fontId="5" fillId="0" borderId="1" xfId="0" applyNumberFormat="1" applyFont="1" applyBorder="1" applyAlignment="1">
      <alignment vertical="top" wrapText="1"/>
    </xf>
    <xf numFmtId="0" fontId="1" fillId="0" borderId="0" xfId="0" applyFont="1" applyAlignment="1">
      <alignment horizontal="center" vertical="top" wrapText="1"/>
    </xf>
    <xf numFmtId="0" fontId="1" fillId="0" borderId="0" xfId="0" applyFont="1" applyAlignment="1">
      <alignment horizontal="left" vertical="top" wrapText="1"/>
    </xf>
    <xf numFmtId="49" fontId="1" fillId="0" borderId="0" xfId="0" applyNumberFormat="1" applyFont="1" applyAlignment="1">
      <alignment vertical="top" wrapText="1"/>
    </xf>
    <xf numFmtId="0" fontId="0" fillId="0" borderId="0" xfId="0" applyAlignment="1">
      <alignment horizontal="center"/>
    </xf>
    <xf numFmtId="0" fontId="16" fillId="0" borderId="0" xfId="0" applyFont="1"/>
    <xf numFmtId="0" fontId="17" fillId="0" borderId="0" xfId="0" applyFont="1" applyAlignment="1">
      <alignment horizontal="left" vertical="top"/>
    </xf>
    <xf numFmtId="168" fontId="18" fillId="0" borderId="0" xfId="0" applyNumberFormat="1" applyFont="1" applyAlignment="1">
      <alignment horizontal="left" vertical="top"/>
    </xf>
    <xf numFmtId="0" fontId="9" fillId="2" borderId="7"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19" fillId="0" borderId="11" xfId="0" applyFont="1" applyBorder="1" applyAlignment="1">
      <alignment horizontal="center" vertical="center"/>
    </xf>
    <xf numFmtId="9"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20" fillId="0" borderId="0" xfId="0" applyFont="1" applyAlignment="1">
      <alignment horizontal="left" vertical="center" wrapText="1"/>
    </xf>
    <xf numFmtId="9" fontId="20" fillId="0" borderId="0" xfId="0" applyNumberFormat="1" applyFont="1" applyAlignment="1">
      <alignment horizontal="center" vertical="top" wrapText="1"/>
    </xf>
    <xf numFmtId="164" fontId="20" fillId="0" borderId="12" xfId="0" applyNumberFormat="1" applyFont="1" applyBorder="1" applyAlignment="1">
      <alignment horizontal="center" vertical="center" wrapText="1"/>
    </xf>
    <xf numFmtId="0" fontId="19" fillId="7" borderId="11" xfId="0" applyFont="1" applyFill="1" applyBorder="1" applyAlignment="1">
      <alignment horizontal="center" vertical="center"/>
    </xf>
    <xf numFmtId="0" fontId="20" fillId="7" borderId="0" xfId="0" applyFont="1" applyFill="1" applyAlignment="1">
      <alignment horizontal="center" vertical="center" wrapText="1"/>
    </xf>
    <xf numFmtId="0" fontId="20" fillId="7" borderId="0" xfId="0" applyFont="1" applyFill="1" applyAlignment="1">
      <alignment horizontal="left" vertical="center" wrapText="1"/>
    </xf>
    <xf numFmtId="9" fontId="20" fillId="7" borderId="0" xfId="0" applyNumberFormat="1" applyFont="1" applyFill="1" applyAlignment="1">
      <alignment horizontal="center" vertical="center" wrapText="1"/>
    </xf>
    <xf numFmtId="164" fontId="20" fillId="7" borderId="12" xfId="0" applyNumberFormat="1" applyFont="1" applyFill="1" applyBorder="1" applyAlignment="1">
      <alignment horizontal="center" vertical="center" wrapText="1"/>
    </xf>
    <xf numFmtId="0" fontId="19" fillId="7" borderId="13" xfId="0" applyFont="1" applyFill="1" applyBorder="1" applyAlignment="1">
      <alignment horizontal="center" vertical="center"/>
    </xf>
    <xf numFmtId="0" fontId="20" fillId="7" borderId="14" xfId="0" applyFont="1" applyFill="1" applyBorder="1" applyAlignment="1">
      <alignment horizontal="center" vertical="center" wrapText="1"/>
    </xf>
    <xf numFmtId="0" fontId="20" fillId="7" borderId="14" xfId="0" applyFont="1" applyFill="1" applyBorder="1" applyAlignment="1">
      <alignment horizontal="left" vertical="center" wrapText="1"/>
    </xf>
    <xf numFmtId="9" fontId="20" fillId="7" borderId="14" xfId="0" applyNumberFormat="1" applyFont="1" applyFill="1" applyBorder="1" applyAlignment="1">
      <alignment horizontal="center" vertical="center" wrapText="1"/>
    </xf>
    <xf numFmtId="164" fontId="20" fillId="7" borderId="15" xfId="0" applyNumberFormat="1" applyFont="1" applyFill="1" applyBorder="1" applyAlignment="1">
      <alignment horizontal="center" vertical="center" wrapText="1"/>
    </xf>
    <xf numFmtId="0" fontId="18" fillId="0" borderId="0" xfId="0" applyFont="1" applyAlignment="1">
      <alignment horizontal="left" vertical="top"/>
    </xf>
    <xf numFmtId="0" fontId="19" fillId="0" borderId="16" xfId="0" applyFont="1" applyBorder="1" applyAlignment="1">
      <alignment horizontal="center" vertical="center"/>
    </xf>
    <xf numFmtId="164" fontId="20" fillId="0" borderId="17" xfId="0" applyNumberFormat="1" applyFont="1" applyBorder="1" applyAlignment="1">
      <alignment horizontal="center" vertical="center" wrapText="1"/>
    </xf>
    <xf numFmtId="0" fontId="19" fillId="7" borderId="16" xfId="0" applyFont="1" applyFill="1" applyBorder="1" applyAlignment="1">
      <alignment horizontal="center" vertical="center"/>
    </xf>
    <xf numFmtId="164" fontId="20" fillId="7" borderId="17" xfId="0" applyNumberFormat="1" applyFont="1" applyFill="1" applyBorder="1" applyAlignment="1">
      <alignment horizontal="center" vertical="center" wrapText="1"/>
    </xf>
    <xf numFmtId="0" fontId="19" fillId="7" borderId="18" xfId="0" applyFont="1" applyFill="1" applyBorder="1" applyAlignment="1">
      <alignment horizontal="center" vertical="center"/>
    </xf>
    <xf numFmtId="0" fontId="20" fillId="7" borderId="2" xfId="0" applyFont="1" applyFill="1" applyBorder="1" applyAlignment="1">
      <alignment horizontal="center" vertical="center" wrapText="1"/>
    </xf>
    <xf numFmtId="0" fontId="20" fillId="7" borderId="2" xfId="0" applyFont="1" applyFill="1" applyBorder="1" applyAlignment="1">
      <alignment horizontal="left" vertical="center" wrapText="1"/>
    </xf>
    <xf numFmtId="9" fontId="20" fillId="7" borderId="2" xfId="0" applyNumberFormat="1" applyFont="1" applyFill="1" applyBorder="1" applyAlignment="1">
      <alignment horizontal="center" vertical="center" wrapText="1"/>
    </xf>
    <xf numFmtId="164" fontId="20" fillId="7" borderId="19" xfId="0" applyNumberFormat="1" applyFont="1" applyFill="1" applyBorder="1" applyAlignment="1">
      <alignment horizontal="center" vertical="center" wrapText="1"/>
    </xf>
    <xf numFmtId="0" fontId="21" fillId="0" borderId="0" xfId="0" applyFont="1" applyAlignment="1">
      <alignment horizontal="center" vertical="center"/>
    </xf>
    <xf numFmtId="0" fontId="0" fillId="0" borderId="0" xfId="0" applyAlignment="1">
      <alignment horizontal="center" vertical="center"/>
    </xf>
    <xf numFmtId="0" fontId="22" fillId="0" borderId="0" xfId="0" applyFont="1" applyAlignment="1">
      <alignment horizontal="center" vertical="center"/>
    </xf>
    <xf numFmtId="0" fontId="0" fillId="0" borderId="1" xfId="0" applyBorder="1" applyAlignment="1">
      <alignment horizontal="center"/>
    </xf>
    <xf numFmtId="0" fontId="0" fillId="0" borderId="1" xfId="0" applyBorder="1"/>
    <xf numFmtId="0" fontId="0" fillId="0" borderId="1" xfId="0" applyBorder="1" applyAlignment="1">
      <alignment wrapText="1"/>
    </xf>
    <xf numFmtId="49" fontId="5"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49" fontId="13" fillId="0" borderId="1" xfId="0" applyNumberFormat="1" applyFont="1" applyBorder="1" applyAlignment="1">
      <alignment horizontal="center" vertical="center" wrapText="1"/>
    </xf>
    <xf numFmtId="0" fontId="11" fillId="3" borderId="6" xfId="0" applyFont="1" applyFill="1" applyBorder="1" applyAlignment="1">
      <alignment horizontal="center" vertical="center" wrapText="1"/>
    </xf>
    <xf numFmtId="0" fontId="5" fillId="4" borderId="1" xfId="0" applyFont="1" applyFill="1" applyBorder="1" applyAlignment="1">
      <alignment horizontal="center" vertical="center"/>
    </xf>
    <xf numFmtId="0" fontId="5" fillId="0" borderId="1" xfId="0" applyFont="1" applyBorder="1" applyAlignment="1">
      <alignment horizontal="left" vertical="center" wrapText="1"/>
    </xf>
    <xf numFmtId="1" fontId="14" fillId="6" borderId="1" xfId="0" applyNumberFormat="1" applyFont="1" applyFill="1" applyBorder="1" applyAlignment="1">
      <alignment horizontal="center" vertical="center"/>
    </xf>
    <xf numFmtId="9" fontId="5" fillId="0" borderId="1" xfId="0" applyNumberFormat="1" applyFont="1" applyBorder="1" applyAlignment="1">
      <alignment horizontal="center" vertical="center"/>
    </xf>
    <xf numFmtId="167" fontId="5" fillId="0" borderId="1" xfId="0" applyNumberFormat="1" applyFont="1" applyBorder="1" applyAlignment="1">
      <alignment horizontal="center" vertical="center"/>
    </xf>
    <xf numFmtId="49" fontId="13" fillId="0" borderId="1" xfId="0" applyNumberFormat="1" applyFont="1" applyBorder="1" applyAlignment="1">
      <alignment vertical="center" wrapText="1"/>
    </xf>
    <xf numFmtId="164" fontId="5" fillId="0" borderId="1" xfId="0" applyNumberFormat="1" applyFont="1" applyBorder="1" applyAlignment="1">
      <alignment horizontal="center" vertical="center" wrapText="1"/>
    </xf>
    <xf numFmtId="167" fontId="6" fillId="0" borderId="1" xfId="0" applyNumberFormat="1" applyFont="1" applyBorder="1" applyAlignment="1">
      <alignment horizontal="center" vertical="center"/>
    </xf>
    <xf numFmtId="49" fontId="6" fillId="5" borderId="1" xfId="0" applyNumberFormat="1" applyFont="1" applyFill="1" applyBorder="1" applyAlignment="1">
      <alignment vertical="center" wrapText="1"/>
    </xf>
    <xf numFmtId="0" fontId="5" fillId="0" borderId="1" xfId="0" applyFont="1" applyBorder="1" applyAlignment="1">
      <alignment horizontal="left" vertical="top" wrapText="1"/>
    </xf>
    <xf numFmtId="49" fontId="13" fillId="5" borderId="1" xfId="0" applyNumberFormat="1" applyFont="1" applyFill="1" applyBorder="1" applyAlignment="1">
      <alignment vertical="center" wrapText="1"/>
    </xf>
    <xf numFmtId="0" fontId="5" fillId="0" borderId="1" xfId="0" applyFont="1" applyBorder="1" applyAlignment="1">
      <alignment vertical="center" wrapText="1"/>
    </xf>
    <xf numFmtId="0" fontId="15" fillId="0" borderId="1" xfId="0" applyFont="1" applyBorder="1" applyAlignment="1">
      <alignment horizontal="center" vertical="center"/>
    </xf>
    <xf numFmtId="0" fontId="13" fillId="5" borderId="1" xfId="0" applyFont="1" applyFill="1" applyBorder="1" applyAlignment="1">
      <alignment vertical="center" wrapText="1"/>
    </xf>
    <xf numFmtId="0" fontId="15" fillId="0" borderId="1" xfId="0" applyFont="1" applyBorder="1" applyAlignment="1">
      <alignment horizontal="center" vertical="center" wrapText="1"/>
    </xf>
    <xf numFmtId="9" fontId="5" fillId="0" borderId="1" xfId="0" applyNumberFormat="1" applyFont="1" applyBorder="1" applyAlignment="1">
      <alignment horizontal="center" vertical="top"/>
    </xf>
    <xf numFmtId="167" fontId="5" fillId="0" borderId="1" xfId="0" applyNumberFormat="1" applyFont="1" applyBorder="1" applyAlignment="1">
      <alignment horizontal="center" vertical="top"/>
    </xf>
    <xf numFmtId="49" fontId="13" fillId="0" borderId="1" xfId="0" applyNumberFormat="1" applyFont="1" applyBorder="1" applyAlignment="1">
      <alignment vertical="top" wrapText="1"/>
    </xf>
    <xf numFmtId="0" fontId="1" fillId="0" borderId="1" xfId="0" applyFont="1" applyBorder="1" applyAlignment="1">
      <alignment horizontal="left" vertical="top" wrapText="1"/>
    </xf>
    <xf numFmtId="49" fontId="12" fillId="0" borderId="1" xfId="0" applyNumberFormat="1" applyFont="1" applyBorder="1" applyAlignment="1">
      <alignment vertical="top" wrapText="1"/>
    </xf>
    <xf numFmtId="49" fontId="1" fillId="0" borderId="1" xfId="0" applyNumberFormat="1" applyFont="1" applyBorder="1" applyAlignment="1">
      <alignment vertical="top" wrapText="1"/>
    </xf>
    <xf numFmtId="49" fontId="6" fillId="5" borderId="1" xfId="0" applyNumberFormat="1" applyFont="1" applyFill="1" applyBorder="1" applyAlignment="1">
      <alignment vertical="top" wrapText="1"/>
    </xf>
    <xf numFmtId="9" fontId="5" fillId="5" borderId="1" xfId="0" applyNumberFormat="1" applyFont="1" applyFill="1" applyBorder="1" applyAlignment="1">
      <alignment horizontal="center" vertical="center"/>
    </xf>
    <xf numFmtId="164" fontId="5" fillId="5" borderId="1" xfId="0" applyNumberFormat="1" applyFont="1" applyFill="1" applyBorder="1" applyAlignment="1">
      <alignment horizontal="center" vertical="center"/>
    </xf>
    <xf numFmtId="167" fontId="5" fillId="5" borderId="1" xfId="0" applyNumberFormat="1" applyFont="1" applyFill="1" applyBorder="1" applyAlignment="1">
      <alignment horizontal="center" vertical="center"/>
    </xf>
    <xf numFmtId="0" fontId="5" fillId="4" borderId="1" xfId="0" applyFont="1" applyFill="1" applyBorder="1" applyAlignment="1">
      <alignment horizontal="center" vertical="center" wrapText="1"/>
    </xf>
    <xf numFmtId="1" fontId="6" fillId="0" borderId="1" xfId="0" applyNumberFormat="1" applyFont="1" applyBorder="1" applyAlignment="1">
      <alignment horizontal="center" vertical="top" wrapText="1"/>
    </xf>
    <xf numFmtId="0" fontId="6" fillId="0" borderId="1" xfId="0" applyFont="1" applyBorder="1" applyAlignment="1">
      <alignment horizontal="center" vertical="top" wrapText="1"/>
    </xf>
    <xf numFmtId="9" fontId="5" fillId="0" borderId="1" xfId="0" applyNumberFormat="1" applyFont="1" applyBorder="1" applyAlignment="1">
      <alignment horizontal="center" vertical="top" wrapText="1"/>
    </xf>
    <xf numFmtId="167" fontId="5" fillId="0" borderId="1" xfId="0" applyNumberFormat="1" applyFont="1" applyBorder="1" applyAlignment="1">
      <alignment horizontal="center" vertical="top" wrapText="1"/>
    </xf>
    <xf numFmtId="1" fontId="14" fillId="6" borderId="1" xfId="0" applyNumberFormat="1" applyFont="1" applyFill="1" applyBorder="1" applyAlignment="1">
      <alignment horizontal="center" vertical="center" wrapText="1"/>
    </xf>
    <xf numFmtId="9" fontId="5" fillId="0" borderId="1" xfId="0" applyNumberFormat="1" applyFont="1" applyBorder="1" applyAlignment="1">
      <alignment horizontal="center" vertical="center" wrapText="1"/>
    </xf>
    <xf numFmtId="167" fontId="5" fillId="0" borderId="1" xfId="0" applyNumberFormat="1" applyFont="1" applyBorder="1" applyAlignment="1">
      <alignment horizontal="center" vertical="center" wrapText="1"/>
    </xf>
    <xf numFmtId="167" fontId="6" fillId="0" borderId="1" xfId="0" applyNumberFormat="1" applyFont="1" applyBorder="1" applyAlignment="1">
      <alignment horizontal="center" vertical="center" wrapText="1"/>
    </xf>
    <xf numFmtId="1" fontId="14" fillId="6" borderId="1" xfId="0" applyNumberFormat="1" applyFont="1" applyFill="1" applyBorder="1" applyAlignment="1">
      <alignment horizontal="center" vertical="top"/>
    </xf>
    <xf numFmtId="0" fontId="5" fillId="9" borderId="1" xfId="0" applyFont="1" applyFill="1" applyBorder="1" applyAlignment="1">
      <alignment horizontal="center" vertical="center"/>
    </xf>
    <xf numFmtId="0" fontId="5" fillId="9" borderId="1" xfId="0" applyFont="1" applyFill="1" applyBorder="1" applyAlignment="1">
      <alignment horizontal="center" vertical="center" wrapText="1"/>
    </xf>
    <xf numFmtId="49" fontId="5" fillId="5" borderId="1" xfId="0" applyNumberFormat="1" applyFont="1" applyFill="1" applyBorder="1" applyAlignment="1">
      <alignment horizontal="left" vertical="center" wrapText="1"/>
    </xf>
    <xf numFmtId="49" fontId="5" fillId="5" borderId="1" xfId="0" applyNumberFormat="1" applyFont="1" applyFill="1" applyBorder="1" applyAlignment="1">
      <alignment horizontal="left" vertical="top" wrapText="1"/>
    </xf>
    <xf numFmtId="1" fontId="7" fillId="0" borderId="2" xfId="0" applyNumberFormat="1" applyFont="1" applyBorder="1" applyAlignment="1">
      <alignment horizontal="center" vertical="top"/>
    </xf>
    <xf numFmtId="0" fontId="9" fillId="2" borderId="3" xfId="0" applyFont="1" applyFill="1" applyBorder="1" applyAlignment="1">
      <alignment horizontal="center" vertical="center"/>
    </xf>
    <xf numFmtId="0" fontId="9" fillId="2" borderId="4" xfId="0" applyFont="1" applyFill="1" applyBorder="1" applyAlignment="1">
      <alignment horizontal="center" vertical="center"/>
    </xf>
    <xf numFmtId="0" fontId="9" fillId="2" borderId="1" xfId="0" applyFont="1" applyFill="1" applyBorder="1" applyAlignment="1">
      <alignment horizontal="center" vertical="center" wrapText="1"/>
    </xf>
    <xf numFmtId="49" fontId="9" fillId="2" borderId="3" xfId="0" applyNumberFormat="1" applyFont="1" applyFill="1" applyBorder="1" applyAlignment="1">
      <alignment horizontal="center" vertical="center"/>
    </xf>
    <xf numFmtId="0" fontId="9" fillId="2" borderId="5" xfId="0" applyFont="1" applyFill="1" applyBorder="1" applyAlignment="1">
      <alignment horizontal="center" vertical="center"/>
    </xf>
    <xf numFmtId="0" fontId="9" fillId="2" borderId="3" xfId="0" applyFont="1" applyFill="1" applyBorder="1" applyAlignment="1">
      <alignment horizontal="center" vertical="center" wrapText="1"/>
    </xf>
    <xf numFmtId="0" fontId="21" fillId="8" borderId="1" xfId="0" applyFont="1" applyFill="1" applyBorder="1" applyAlignment="1">
      <alignment horizontal="center"/>
    </xf>
    <xf numFmtId="0" fontId="0" fillId="0" borderId="1" xfId="0" applyBorder="1" applyAlignment="1">
      <alignment horizontal="center" vertical="center"/>
    </xf>
  </cellXfs>
  <cellStyles count="1">
    <cellStyle name="Standaard" xfId="0" builtinId="0"/>
  </cellStyles>
  <dxfs count="38">
    <dxf>
      <font>
        <color rgb="FF9C0006"/>
      </font>
      <fill>
        <patternFill>
          <bgColor rgb="FFFFC7CE"/>
        </patternFill>
      </fill>
    </dxf>
    <dxf>
      <font>
        <color rgb="FF9C5700"/>
      </font>
      <fill>
        <patternFill>
          <bgColor rgb="FFFFEB9C"/>
        </patternFill>
      </fill>
    </dxf>
    <dxf>
      <font>
        <color rgb="FF006100"/>
      </font>
      <fill>
        <patternFill>
          <bgColor rgb="FFC6EFCE"/>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charset val="1"/>
        <scheme val="none"/>
      </font>
      <fill>
        <patternFill patternType="solid">
          <fgColor rgb="FFFFFFFF"/>
          <bgColor theme="0" tint="-4.9989318521683403E-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2F2F2"/>
      <rgbColor rgb="FFDCE6F1"/>
      <rgbColor rgb="FF660066"/>
      <rgbColor rgb="FFFF8080"/>
      <rgbColor rgb="FF0066CC"/>
      <rgbColor rgb="FFFFC7CE"/>
      <rgbColor rgb="FF000080"/>
      <rgbColor rgb="FFFF00FF"/>
      <rgbColor rgb="FFFFFF00"/>
      <rgbColor rgb="FF00FFFF"/>
      <rgbColor rgb="FF800080"/>
      <rgbColor rgb="FF800000"/>
      <rgbColor rgb="FF008080"/>
      <rgbColor rgb="FF0000FF"/>
      <rgbColor rgb="FF00B0F0"/>
      <rgbColor rgb="FFCCFFFF"/>
      <rgbColor rgb="FFC6EFCE"/>
      <rgbColor rgb="FFFFEB9C"/>
      <rgbColor rgb="FF99CCFF"/>
      <rgbColor rgb="FFFF99CC"/>
      <rgbColor rgb="FFCC99FF"/>
      <rgbColor rgb="FFFCD5B5"/>
      <rgbColor rgb="FF3366FF"/>
      <rgbColor rgb="FF33CCCC"/>
      <rgbColor rgb="FF99CC00"/>
      <rgbColor rgb="FFFFCC00"/>
      <rgbColor rgb="FFFF9900"/>
      <rgbColor rgb="FFFF6600"/>
      <rgbColor rgb="FF666699"/>
      <rgbColor rgb="FF969696"/>
      <rgbColor rgb="FF003366"/>
      <rgbColor rgb="FF339966"/>
      <rgbColor rgb="FF003300"/>
      <rgbColor rgb="FF333300"/>
      <rgbColor rgb="FF9C57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294480</xdr:colOff>
      <xdr:row>0</xdr:row>
      <xdr:rowOff>138600</xdr:rowOff>
    </xdr:from>
    <xdr:to>
      <xdr:col>8</xdr:col>
      <xdr:colOff>224871</xdr:colOff>
      <xdr:row>8</xdr:row>
      <xdr:rowOff>92390</xdr:rowOff>
    </xdr:to>
    <xdr:pic>
      <xdr:nvPicPr>
        <xdr:cNvPr id="2" name="Afbeelding 1" descr="Afbeelding met schermopname, Lettertype, Graphics, tekst&#10;&#10;Automatisch gegenereerde beschrijvi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8328600" y="138600"/>
          <a:ext cx="3619080" cy="1357200"/>
        </a:xfrm>
        <a:prstGeom prst="rect">
          <a:avLst/>
        </a:prstGeom>
        <a:ln w="0">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2" displayName="Tabel2" ref="B11:AJ112" totalsRowShown="0">
  <autoFilter ref="B11:AJ112" xr:uid="{00000000-0009-0000-0100-000001000000}">
    <filterColumn colId="6">
      <filters blank="1">
        <filter val="Actueel"/>
        <filter val="Beheerst"/>
        <filter val="Vigerend"/>
        <filter val="Voorstel"/>
      </filters>
    </filterColumn>
  </autoFilter>
  <sortState xmlns:xlrd2="http://schemas.microsoft.com/office/spreadsheetml/2017/richdata2" ref="B71:AJ106">
    <sortCondition descending="1" ref="AF11:AF112"/>
  </sortState>
  <tableColumns count="35">
    <tableColumn id="1" xr3:uid="{00000000-0010-0000-0000-000001000000}" name="ID" dataDxfId="37"/>
    <tableColumn id="35" xr3:uid="{B106EB14-2969-4FCA-8DFE-BE25FA42A630}" name="Deelproject" dataDxfId="36"/>
    <tableColumn id="2" xr3:uid="{00000000-0010-0000-0000-000002000000}" name="Ongewenste gebeurtenis" dataDxfId="35"/>
    <tableColumn id="3" xr3:uid="{00000000-0010-0000-0000-000003000000}" name="Oorzaak(en)" dataDxfId="34"/>
    <tableColumn id="4" xr3:uid="{00000000-0010-0000-0000-000004000000}" name="Gevolg(en)" dataDxfId="33"/>
    <tableColumn id="5" xr3:uid="{00000000-0010-0000-0000-000005000000}" name="Opmerking risico" dataDxfId="32"/>
    <tableColumn id="6" xr3:uid="{00000000-0010-0000-0000-000006000000}" name="Status _x000a_risico" dataDxfId="31"/>
    <tableColumn id="7" xr3:uid="{00000000-0010-0000-0000-000007000000}" name="Risico-eigenaar" dataDxfId="30"/>
    <tableColumn id="8" xr3:uid="{00000000-0010-0000-0000-000008000000}" name="Allocatie" dataDxfId="29"/>
    <tableColumn id="9" xr3:uid="{00000000-0010-0000-0000-000009000000}" name="Fase" dataDxfId="28"/>
    <tableColumn id="10" xr3:uid="{00000000-0010-0000-0000-00000A000000}" name="Kans" dataDxfId="27"/>
    <tableColumn id="11" xr3:uid="{00000000-0010-0000-0000-00000B000000}" name="Tijd" dataDxfId="26"/>
    <tableColumn id="12" xr3:uid="{00000000-0010-0000-0000-00000C000000}" name="Geld" dataDxfId="25"/>
    <tableColumn id="13" xr3:uid="{00000000-0010-0000-0000-00000D000000}" name="Kwaliteit" dataDxfId="24"/>
    <tableColumn id="14" xr3:uid="{00000000-0010-0000-0000-00000E000000}" name="Veiligheid" dataDxfId="23"/>
    <tableColumn id="15" xr3:uid="{00000000-0010-0000-0000-00000F000000}" name="Omgeving" dataDxfId="22"/>
    <tableColumn id="16" xr3:uid="{00000000-0010-0000-0000-000010000000}" name="Risico" dataDxfId="21"/>
    <tableColumn id="17" xr3:uid="{00000000-0010-0000-0000-000011000000}" name="Kans " dataDxfId="20"/>
    <tableColumn id="18" xr3:uid="{00000000-0010-0000-0000-000012000000}" name="Geld " dataDxfId="19"/>
    <tableColumn id="19" xr3:uid="{00000000-0010-0000-0000-000013000000}" name="Initieel risicio bedrag" dataDxfId="18"/>
    <tableColumn id="20" xr3:uid="{00000000-0010-0000-0000-000014000000}" name="Beheersmaatregel_x000a_" dataDxfId="17"/>
    <tableColumn id="21" xr3:uid="{00000000-0010-0000-0000-000015000000}" name="Actiehouder" dataDxfId="16"/>
    <tableColumn id="22" xr3:uid="{00000000-0010-0000-0000-000016000000}" name="Status" dataDxfId="15"/>
    <tableColumn id="23" xr3:uid="{00000000-0010-0000-0000-000017000000}" name="Opmerkingen" dataDxfId="14"/>
    <tableColumn id="24" xr3:uid="{00000000-0010-0000-0000-000018000000}" name="Kans  " dataDxfId="13"/>
    <tableColumn id="25" xr3:uid="{00000000-0010-0000-0000-000019000000}" name="Tijd  " dataDxfId="12"/>
    <tableColumn id="26" xr3:uid="{00000000-0010-0000-0000-00001A000000}" name="Geld  " dataDxfId="11"/>
    <tableColumn id="27" xr3:uid="{00000000-0010-0000-0000-00001B000000}" name="Kwaliteit  " dataDxfId="10"/>
    <tableColumn id="28" xr3:uid="{00000000-0010-0000-0000-00001C000000}" name="Veiligheid  " dataDxfId="9"/>
    <tableColumn id="29" xr3:uid="{00000000-0010-0000-0000-00001D000000}" name="Omgeving  " dataDxfId="8"/>
    <tableColumn id="30" xr3:uid="{00000000-0010-0000-0000-00001E000000}" name="Risico " dataDxfId="7"/>
    <tableColumn id="31" xr3:uid="{00000000-0010-0000-0000-00001F000000}" name="Kans   " dataDxfId="6"/>
    <tableColumn id="32" xr3:uid="{00000000-0010-0000-0000-000020000000}" name="Rekenwaarde kosten" dataDxfId="5"/>
    <tableColumn id="33" xr3:uid="{00000000-0010-0000-0000-000021000000}" name="Restrisico bedrag" dataDxfId="4"/>
    <tableColumn id="34" xr3:uid="{00000000-0010-0000-0000-000022000000}" name="Tijdsimpact" dataDxfId="3"/>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L113"/>
  <sheetViews>
    <sheetView showGridLines="0" tabSelected="1" zoomScale="70" zoomScaleNormal="70" zoomScalePageLayoutView="80" workbookViewId="0">
      <pane ySplit="11" topLeftCell="A71" activePane="bottomLeft" state="frozen"/>
      <selection pane="bottomLeft" activeCell="E64" sqref="E64"/>
    </sheetView>
  </sheetViews>
  <sheetFormatPr defaultColWidth="2.5546875" defaultRowHeight="13.8" outlineLevelCol="1" x14ac:dyDescent="0.3"/>
  <cols>
    <col min="1" max="1" width="1.44140625" style="3" customWidth="1"/>
    <col min="2" max="2" width="5.5546875" style="4" customWidth="1"/>
    <col min="3" max="3" width="19" style="4" customWidth="1"/>
    <col min="4" max="4" width="35.6640625" style="4" customWidth="1"/>
    <col min="5" max="5" width="35.5546875" style="4" customWidth="1"/>
    <col min="6" max="6" width="35.6640625" style="5" customWidth="1"/>
    <col min="7" max="7" width="35.6640625" style="4" customWidth="1"/>
    <col min="8" max="8" width="16.6640625" style="4" customWidth="1"/>
    <col min="9" max="9" width="20.44140625" style="4" customWidth="1"/>
    <col min="10" max="11" width="16.6640625" style="4" customWidth="1"/>
    <col min="12" max="12" width="4.5546875" style="6" hidden="1" customWidth="1" outlineLevel="1"/>
    <col min="13" max="17" width="4.5546875" style="3" hidden="1" customWidth="1" outlineLevel="1"/>
    <col min="18" max="18" width="4.5546875" style="7" hidden="1" customWidth="1" outlineLevel="1"/>
    <col min="19" max="19" width="12" style="7" hidden="1" customWidth="1" outlineLevel="1"/>
    <col min="20" max="21" width="12.5546875" style="7" hidden="1" customWidth="1" outlineLevel="1"/>
    <col min="22" max="22" width="35.6640625" style="8" customWidth="1" collapsed="1"/>
    <col min="23" max="23" width="16.6640625" style="4" customWidth="1"/>
    <col min="24" max="24" width="16.6640625" style="9" customWidth="1"/>
    <col min="25" max="25" width="35.6640625" style="9" customWidth="1"/>
    <col min="26" max="31" width="4.5546875" style="3" customWidth="1" outlineLevel="1"/>
    <col min="32" max="32" width="16.6640625" style="3" customWidth="1" outlineLevel="1"/>
    <col min="33" max="33" width="16.6640625" style="7" customWidth="1" outlineLevel="1"/>
    <col min="34" max="34" width="16.6640625" style="10" customWidth="1" outlineLevel="1"/>
    <col min="35" max="36" width="16.6640625" style="7" customWidth="1" outlineLevel="1"/>
    <col min="37" max="16384" width="2.5546875" style="3"/>
  </cols>
  <sheetData>
    <row r="1" spans="2:38" ht="15" customHeight="1" x14ac:dyDescent="0.25">
      <c r="E1" s="11" t="s">
        <v>0</v>
      </c>
      <c r="F1" s="12" t="s">
        <v>1</v>
      </c>
    </row>
    <row r="2" spans="2:38" ht="13.5" customHeight="1" x14ac:dyDescent="0.25">
      <c r="D2" s="3"/>
      <c r="E2" s="11" t="s">
        <v>2</v>
      </c>
      <c r="F2" s="13">
        <v>798562.59</v>
      </c>
      <c r="G2" s="14"/>
      <c r="I2" s="14"/>
      <c r="L2" s="14"/>
      <c r="M2" s="14"/>
      <c r="N2" s="14"/>
      <c r="X2" s="4"/>
      <c r="Y2" s="4"/>
    </row>
    <row r="3" spans="2:38" ht="13.5" customHeight="1" x14ac:dyDescent="0.25">
      <c r="D3" s="3"/>
      <c r="E3" s="11" t="s">
        <v>3</v>
      </c>
      <c r="F3" s="13" t="str">
        <f>IF(F2&lt;5000000,"Klein project",IF(F2&lt;=12000000,"Middelgroot project","Groot project"))</f>
        <v>Klein project</v>
      </c>
      <c r="G3" s="14"/>
      <c r="I3" s="14"/>
      <c r="L3" s="14"/>
      <c r="M3" s="14"/>
      <c r="N3" s="14"/>
      <c r="X3" s="4"/>
      <c r="Y3" s="4"/>
    </row>
    <row r="4" spans="2:38" ht="14.25" customHeight="1" x14ac:dyDescent="0.25">
      <c r="D4" s="3"/>
      <c r="E4" s="11" t="s">
        <v>4</v>
      </c>
      <c r="F4" s="12" t="s">
        <v>5</v>
      </c>
      <c r="G4" s="14"/>
      <c r="I4" s="14"/>
      <c r="L4" s="14"/>
      <c r="M4" s="14"/>
      <c r="N4" s="14"/>
      <c r="X4" s="4"/>
      <c r="Y4" s="4"/>
    </row>
    <row r="5" spans="2:38" ht="14.25" customHeight="1" x14ac:dyDescent="0.25">
      <c r="D5" s="3"/>
      <c r="E5" s="11" t="s">
        <v>6</v>
      </c>
      <c r="F5" s="12" t="s">
        <v>578</v>
      </c>
      <c r="G5" s="14"/>
      <c r="I5" s="14"/>
      <c r="L5" s="14"/>
      <c r="M5" s="14"/>
      <c r="N5" s="14"/>
      <c r="X5" s="4"/>
      <c r="Y5" s="4"/>
    </row>
    <row r="6" spans="2:38" ht="13.5" customHeight="1" x14ac:dyDescent="0.25">
      <c r="D6" s="3"/>
      <c r="E6" s="11" t="s">
        <v>7</v>
      </c>
      <c r="F6" s="15">
        <f t="array" ref="F6">SUM(SUMIFS($AI$12:$AI$112,$H$12:$H$112,{"Voorstel";"Vigerend";"Beheerst"},$K$12:$K$112,E6))</f>
        <v>48125</v>
      </c>
      <c r="G6" s="14"/>
      <c r="I6" s="14"/>
      <c r="L6" s="14"/>
      <c r="M6" s="14"/>
      <c r="N6" s="14"/>
      <c r="X6" s="4"/>
      <c r="Y6" s="4"/>
      <c r="AG6" s="16"/>
      <c r="AH6" s="16"/>
      <c r="AI6" s="10"/>
    </row>
    <row r="7" spans="2:38" ht="13.5" customHeight="1" x14ac:dyDescent="0.25">
      <c r="D7" s="3"/>
      <c r="E7" s="11" t="s">
        <v>8</v>
      </c>
      <c r="F7" s="15">
        <f t="array" ref="F7">SUM(SUMIFS($AI$12:$AI$112,$H$12:$H$112,{"Voorstel";"Actueel";"Vigerend";"Beheerst"},$K$12:$K$112,E7))</f>
        <v>216875</v>
      </c>
      <c r="G7" s="14"/>
      <c r="I7" s="14"/>
      <c r="L7" s="14"/>
      <c r="M7" s="14"/>
      <c r="N7" s="14"/>
      <c r="X7" s="4"/>
      <c r="Y7" s="4"/>
    </row>
    <row r="8" spans="2:38" ht="13.5" customHeight="1" x14ac:dyDescent="0.25">
      <c r="D8" s="3"/>
      <c r="E8" s="11" t="s">
        <v>9</v>
      </c>
      <c r="F8" s="17">
        <f>SUM(F6:F7)</f>
        <v>265000</v>
      </c>
      <c r="G8" s="14"/>
      <c r="I8" s="14"/>
      <c r="L8" s="14"/>
      <c r="M8" s="14"/>
      <c r="N8" s="14"/>
      <c r="X8" s="4"/>
      <c r="Y8" s="4"/>
    </row>
    <row r="9" spans="2:38" ht="18.75" customHeight="1" x14ac:dyDescent="0.25">
      <c r="D9" s="14"/>
      <c r="E9" s="14"/>
      <c r="F9" s="14"/>
      <c r="G9" s="14"/>
      <c r="I9" s="14"/>
      <c r="L9" s="14"/>
      <c r="M9" s="14"/>
      <c r="N9" s="14"/>
      <c r="X9" s="4"/>
      <c r="Y9" s="4"/>
      <c r="AG9" s="139"/>
      <c r="AH9" s="139"/>
      <c r="AI9" s="139"/>
      <c r="AJ9" s="139"/>
    </row>
    <row r="10" spans="2:38" s="18" customFormat="1" ht="26.25" customHeight="1" x14ac:dyDescent="0.3">
      <c r="B10" s="140" t="s">
        <v>10</v>
      </c>
      <c r="C10" s="140"/>
      <c r="D10" s="140"/>
      <c r="E10" s="140"/>
      <c r="F10" s="140"/>
      <c r="G10" s="140"/>
      <c r="H10" s="140"/>
      <c r="I10" s="140"/>
      <c r="J10" s="140"/>
      <c r="K10" s="140"/>
      <c r="L10" s="141" t="s">
        <v>11</v>
      </c>
      <c r="M10" s="141"/>
      <c r="N10" s="141"/>
      <c r="O10" s="141"/>
      <c r="P10" s="141"/>
      <c r="Q10" s="141"/>
      <c r="R10" s="141"/>
      <c r="S10" s="142" t="s">
        <v>12</v>
      </c>
      <c r="T10" s="142"/>
      <c r="U10" s="142"/>
      <c r="V10" s="143" t="s">
        <v>13</v>
      </c>
      <c r="W10" s="143"/>
      <c r="X10" s="143"/>
      <c r="Y10" s="143"/>
      <c r="Z10" s="144" t="s">
        <v>14</v>
      </c>
      <c r="AA10" s="144"/>
      <c r="AB10" s="144"/>
      <c r="AC10" s="144"/>
      <c r="AD10" s="144"/>
      <c r="AE10" s="144"/>
      <c r="AF10" s="144"/>
      <c r="AG10" s="2" t="s">
        <v>15</v>
      </c>
      <c r="AH10" s="145" t="s">
        <v>12</v>
      </c>
      <c r="AI10" s="145"/>
      <c r="AJ10" s="2" t="s">
        <v>16</v>
      </c>
      <c r="AK10" s="19"/>
      <c r="AL10" s="20"/>
    </row>
    <row r="11" spans="2:38" s="21" customFormat="1" ht="59.25" customHeight="1" x14ac:dyDescent="0.3">
      <c r="B11" s="22" t="s">
        <v>17</v>
      </c>
      <c r="C11" s="22" t="s">
        <v>572</v>
      </c>
      <c r="D11" s="23" t="s">
        <v>18</v>
      </c>
      <c r="E11" s="24" t="s">
        <v>19</v>
      </c>
      <c r="F11" s="24" t="s">
        <v>20</v>
      </c>
      <c r="G11" s="23" t="s">
        <v>21</v>
      </c>
      <c r="H11" s="25" t="s">
        <v>22</v>
      </c>
      <c r="I11" s="23" t="s">
        <v>23</v>
      </c>
      <c r="J11" s="22" t="s">
        <v>24</v>
      </c>
      <c r="K11" s="22" t="s">
        <v>25</v>
      </c>
      <c r="L11" s="26" t="s">
        <v>26</v>
      </c>
      <c r="M11" s="27" t="s">
        <v>27</v>
      </c>
      <c r="N11" s="27" t="s">
        <v>28</v>
      </c>
      <c r="O11" s="27" t="s">
        <v>29</v>
      </c>
      <c r="P11" s="27" t="s">
        <v>30</v>
      </c>
      <c r="Q11" s="27" t="s">
        <v>31</v>
      </c>
      <c r="R11" s="26" t="s">
        <v>32</v>
      </c>
      <c r="S11" s="26" t="s">
        <v>33</v>
      </c>
      <c r="T11" s="28" t="s">
        <v>34</v>
      </c>
      <c r="U11" s="29" t="s">
        <v>35</v>
      </c>
      <c r="V11" s="23" t="s">
        <v>36</v>
      </c>
      <c r="W11" s="23" t="s">
        <v>37</v>
      </c>
      <c r="X11" s="23" t="s">
        <v>38</v>
      </c>
      <c r="Y11" s="23" t="s">
        <v>39</v>
      </c>
      <c r="Z11" s="30" t="s">
        <v>40</v>
      </c>
      <c r="AA11" s="31" t="s">
        <v>41</v>
      </c>
      <c r="AB11" s="31" t="s">
        <v>42</v>
      </c>
      <c r="AC11" s="31" t="s">
        <v>43</v>
      </c>
      <c r="AD11" s="31" t="s">
        <v>44</v>
      </c>
      <c r="AE11" s="31" t="s">
        <v>45</v>
      </c>
      <c r="AF11" s="30" t="s">
        <v>46</v>
      </c>
      <c r="AG11" s="30" t="s">
        <v>47</v>
      </c>
      <c r="AH11" s="25" t="s">
        <v>48</v>
      </c>
      <c r="AI11" s="99" t="s">
        <v>49</v>
      </c>
      <c r="AJ11" s="32" t="s">
        <v>50</v>
      </c>
    </row>
    <row r="12" spans="2:38" s="33" customFormat="1" ht="171" hidden="1" customHeight="1" x14ac:dyDescent="0.3">
      <c r="B12" s="100">
        <v>1</v>
      </c>
      <c r="C12" s="100"/>
      <c r="D12" s="51" t="s">
        <v>201</v>
      </c>
      <c r="E12" s="51"/>
      <c r="F12" s="51"/>
      <c r="G12" s="101"/>
      <c r="H12" s="36" t="s">
        <v>62</v>
      </c>
      <c r="I12" s="36"/>
      <c r="J12" s="36" t="s">
        <v>64</v>
      </c>
      <c r="K12" s="36" t="s">
        <v>7</v>
      </c>
      <c r="L12" s="46"/>
      <c r="M12" s="44"/>
      <c r="N12" s="44"/>
      <c r="O12" s="44"/>
      <c r="P12" s="44"/>
      <c r="Q12" s="44"/>
      <c r="R12" s="102">
        <f>IFERROR(Tabel2[[#This Row],[Kans]]*SUM(Tabel2[[#This Row],[Tijd]:[Omgeving]]),0)</f>
        <v>0</v>
      </c>
      <c r="S12" s="103">
        <f>IFERROR(VLOOKUP(Tabel2[[#This Row],[Kans]],#REF!,9,0),0)</f>
        <v>0</v>
      </c>
      <c r="T12" s="104">
        <f>IFERROR(VLOOKUP(Tabel2[[#This Row],[Geld]],#REF!,12,0),0)</f>
        <v>0</v>
      </c>
      <c r="U12" s="104">
        <f>Tabel2[[#This Row],[Kans ]]*Tabel2[[#This Row],[Geld ]]</f>
        <v>0</v>
      </c>
      <c r="V12" s="105" t="s">
        <v>202</v>
      </c>
      <c r="W12" s="97" t="s">
        <v>203</v>
      </c>
      <c r="X12" s="49" t="s">
        <v>204</v>
      </c>
      <c r="Y12" s="48"/>
      <c r="Z12" s="46">
        <v>5</v>
      </c>
      <c r="AA12" s="44">
        <v>5</v>
      </c>
      <c r="AB12" s="44">
        <v>2</v>
      </c>
      <c r="AC12" s="44">
        <v>0</v>
      </c>
      <c r="AD12" s="44">
        <v>0</v>
      </c>
      <c r="AE12" s="44">
        <v>4</v>
      </c>
      <c r="AF12" s="102">
        <f>IFERROR(Tabel2[[#This Row],[Kans  ]]*SUM(Tabel2[[#This Row],[Tijd  ]:[Omgeving  ]]),0)</f>
        <v>55</v>
      </c>
      <c r="AG12" s="103">
        <f>VLOOKUP(Tabel2[[#This Row],[Kans  ]],KWANTIFICEERTABELLEN!$B$19:$J$26,8,FALSE())</f>
        <v>0.4</v>
      </c>
      <c r="AH12"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7500</v>
      </c>
      <c r="AI12" s="104">
        <f>IFERROR(Tabel2[[#This Row],[Kans   ]]*Tabel2[[#This Row],[Rekenwaarde kosten]],0)</f>
        <v>3000</v>
      </c>
      <c r="AJ12"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4 - 6 weken</v>
      </c>
    </row>
    <row r="13" spans="2:38" s="41" customFormat="1" ht="140.25" customHeight="1" x14ac:dyDescent="0.3">
      <c r="B13" s="100">
        <v>56</v>
      </c>
      <c r="C13" s="135" t="s">
        <v>575</v>
      </c>
      <c r="D13" s="52" t="s">
        <v>51</v>
      </c>
      <c r="E13" s="52" t="s">
        <v>52</v>
      </c>
      <c r="F13" s="118" t="s">
        <v>53</v>
      </c>
      <c r="G13" s="119"/>
      <c r="H13" s="34" t="s">
        <v>54</v>
      </c>
      <c r="I13" s="52" t="s">
        <v>77</v>
      </c>
      <c r="J13" s="35" t="s">
        <v>55</v>
      </c>
      <c r="K13" s="36" t="s">
        <v>8</v>
      </c>
      <c r="L13" s="105" t="s">
        <v>56</v>
      </c>
      <c r="M13" s="42"/>
      <c r="N13" s="48"/>
      <c r="O13" s="50"/>
      <c r="P13" s="39">
        <v>1</v>
      </c>
      <c r="Q13" s="40">
        <v>3</v>
      </c>
      <c r="R13" s="40">
        <v>2</v>
      </c>
      <c r="S13" s="40">
        <v>0</v>
      </c>
      <c r="T13" s="40">
        <v>0</v>
      </c>
      <c r="U13" s="40">
        <v>0</v>
      </c>
      <c r="V13" s="120" t="s">
        <v>57</v>
      </c>
      <c r="W13" s="37" t="s">
        <v>8</v>
      </c>
      <c r="X13" s="38" t="s">
        <v>58</v>
      </c>
      <c r="Y13" s="121"/>
      <c r="Z13" s="39">
        <v>6</v>
      </c>
      <c r="AA13" s="40">
        <v>2</v>
      </c>
      <c r="AB13" s="40">
        <v>4</v>
      </c>
      <c r="AC13" s="40">
        <v>5</v>
      </c>
      <c r="AD13" s="40">
        <v>1</v>
      </c>
      <c r="AE13" s="40">
        <v>2</v>
      </c>
      <c r="AF13" s="102">
        <f>IFERROR(Tabel2[[#This Row],[Kans  ]]*SUM(Tabel2[[#This Row],[Tijd  ]:[Omgeving  ]]),0)</f>
        <v>84</v>
      </c>
      <c r="AG13" s="122">
        <f>VLOOKUP(Tabel2[[#This Row],[Kans  ]],KWANTIFICEERTABELLEN!$B$19:$J$26,8,FALSE())</f>
        <v>0.5</v>
      </c>
      <c r="AH13" s="123">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37500</v>
      </c>
      <c r="AI13" s="124">
        <f>IFERROR(Tabel2[[#This Row],[Kans   ]]*Tabel2[[#This Row],[Rekenwaarde kosten]],0)</f>
        <v>18750</v>
      </c>
      <c r="AJ13"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0.5 - 1 weken</v>
      </c>
    </row>
    <row r="14" spans="2:38" s="41" customFormat="1" ht="105" hidden="1" customHeight="1" x14ac:dyDescent="0.3">
      <c r="B14" s="100">
        <v>3</v>
      </c>
      <c r="C14" s="100"/>
      <c r="D14" s="51" t="s">
        <v>129</v>
      </c>
      <c r="E14" s="51"/>
      <c r="F14" s="51"/>
      <c r="G14" s="101"/>
      <c r="H14" s="36" t="s">
        <v>62</v>
      </c>
      <c r="I14" s="36"/>
      <c r="J14" s="36" t="s">
        <v>55</v>
      </c>
      <c r="K14" s="36" t="s">
        <v>7</v>
      </c>
      <c r="L14" s="46"/>
      <c r="M14" s="44"/>
      <c r="N14" s="44"/>
      <c r="O14" s="44"/>
      <c r="P14" s="44"/>
      <c r="Q14" s="44"/>
      <c r="R14" s="102">
        <f>IFERROR(Tabel2[[#This Row],[Kans]]*SUM(Tabel2[[#This Row],[Tijd]:[Omgeving]]),0)</f>
        <v>0</v>
      </c>
      <c r="S14" s="103"/>
      <c r="T14" s="104"/>
      <c r="U14" s="104"/>
      <c r="V14" s="108" t="s">
        <v>130</v>
      </c>
      <c r="W14" s="47" t="s">
        <v>131</v>
      </c>
      <c r="X14" s="45" t="s">
        <v>132</v>
      </c>
      <c r="Y14" s="48"/>
      <c r="Z14" s="46">
        <v>6</v>
      </c>
      <c r="AA14" s="44">
        <v>6</v>
      </c>
      <c r="AB14" s="44">
        <v>2</v>
      </c>
      <c r="AC14" s="44">
        <v>0</v>
      </c>
      <c r="AD14" s="44">
        <v>0</v>
      </c>
      <c r="AE14" s="44">
        <v>0</v>
      </c>
      <c r="AF14" s="102">
        <f>IFERROR(Tabel2[[#This Row],[Kans  ]]*SUM(Tabel2[[#This Row],[Tijd  ]:[Omgeving  ]]),0)</f>
        <v>48</v>
      </c>
      <c r="AG14" s="103">
        <f>VLOOKUP(Tabel2[[#This Row],[Kans  ]],KWANTIFICEERTABELLEN!$B$19:$J$26,8,FALSE())</f>
        <v>0.5</v>
      </c>
      <c r="AH14"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7500</v>
      </c>
      <c r="AI14" s="104">
        <f>IFERROR(Tabel2[[#This Row],[Kans   ]]*Tabel2[[#This Row],[Rekenwaarde kosten]],0)</f>
        <v>3750</v>
      </c>
      <c r="AJ14"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6 - 8 weken</v>
      </c>
    </row>
    <row r="15" spans="2:38" s="41" customFormat="1" ht="158.25" hidden="1" customHeight="1" x14ac:dyDescent="0.3">
      <c r="B15" s="100">
        <v>4</v>
      </c>
      <c r="C15" s="100"/>
      <c r="D15" s="51" t="s">
        <v>121</v>
      </c>
      <c r="E15" s="51"/>
      <c r="F15" s="51"/>
      <c r="G15" s="101"/>
      <c r="H15" s="36" t="s">
        <v>62</v>
      </c>
      <c r="I15" s="36"/>
      <c r="J15" s="36" t="s">
        <v>55</v>
      </c>
      <c r="K15" s="36" t="s">
        <v>8</v>
      </c>
      <c r="L15" s="46"/>
      <c r="M15" s="44"/>
      <c r="N15" s="44"/>
      <c r="O15" s="44"/>
      <c r="P15" s="44"/>
      <c r="Q15" s="44"/>
      <c r="R15" s="102">
        <f>IFERROR(Tabel2[[#This Row],[Kans]]*SUM(Tabel2[[#This Row],[Tijd]:[Omgeving]]),0)</f>
        <v>0</v>
      </c>
      <c r="S15" s="103"/>
      <c r="T15" s="104"/>
      <c r="U15" s="104"/>
      <c r="V15" s="105" t="s">
        <v>122</v>
      </c>
      <c r="W15" s="47" t="s">
        <v>123</v>
      </c>
      <c r="X15" s="45" t="s">
        <v>124</v>
      </c>
      <c r="Y15" s="48"/>
      <c r="Z15" s="46">
        <v>4</v>
      </c>
      <c r="AA15" s="44">
        <v>5</v>
      </c>
      <c r="AB15" s="44">
        <v>3</v>
      </c>
      <c r="AC15" s="44">
        <v>0</v>
      </c>
      <c r="AD15" s="44">
        <v>0</v>
      </c>
      <c r="AE15" s="44">
        <v>0</v>
      </c>
      <c r="AF15" s="102">
        <f>IFERROR(Tabel2[[#This Row],[Kans  ]]*SUM(Tabel2[[#This Row],[Tijd  ]:[Omgeving  ]]),0)</f>
        <v>32</v>
      </c>
      <c r="AG15" s="103">
        <f>VLOOKUP(Tabel2[[#This Row],[Kans  ]],KWANTIFICEERTABELLEN!$B$19:$J$26,8,FALSE())</f>
        <v>0.3</v>
      </c>
      <c r="AH15"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17500</v>
      </c>
      <c r="AI15" s="104">
        <f>IFERROR(Tabel2[[#This Row],[Kans   ]]*Tabel2[[#This Row],[Rekenwaarde kosten]],0)</f>
        <v>5250</v>
      </c>
      <c r="AJ15"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4 - 6 weken</v>
      </c>
    </row>
    <row r="16" spans="2:38" s="41" customFormat="1" ht="141.75" hidden="1" customHeight="1" x14ac:dyDescent="0.3">
      <c r="B16" s="100">
        <v>5</v>
      </c>
      <c r="C16" s="100"/>
      <c r="D16" s="51" t="s">
        <v>175</v>
      </c>
      <c r="E16" s="51" t="s">
        <v>176</v>
      </c>
      <c r="F16" s="51" t="s">
        <v>177</v>
      </c>
      <c r="G16" s="109" t="s">
        <v>174</v>
      </c>
      <c r="H16" s="42" t="s">
        <v>62</v>
      </c>
      <c r="I16" s="36" t="s">
        <v>63</v>
      </c>
      <c r="J16" s="36" t="s">
        <v>64</v>
      </c>
      <c r="K16" s="36" t="s">
        <v>7</v>
      </c>
      <c r="L16" s="46">
        <v>5</v>
      </c>
      <c r="M16" s="44">
        <v>6</v>
      </c>
      <c r="N16" s="44">
        <v>2</v>
      </c>
      <c r="O16" s="44">
        <v>0</v>
      </c>
      <c r="P16" s="44">
        <v>0</v>
      </c>
      <c r="Q16" s="44">
        <v>4</v>
      </c>
      <c r="R16" s="102">
        <f>IFERROR(Tabel2[[#This Row],[Kans]]*SUM(Tabel2[[#This Row],[Tijd]:[Omgeving]]),0)</f>
        <v>60</v>
      </c>
      <c r="S16" s="103"/>
      <c r="T16" s="104"/>
      <c r="U16" s="104"/>
      <c r="V16" s="105" t="s">
        <v>178</v>
      </c>
      <c r="W16" s="47" t="s">
        <v>179</v>
      </c>
      <c r="X16" s="49" t="s">
        <v>180</v>
      </c>
      <c r="Y16" s="48"/>
      <c r="Z16" s="46">
        <v>2</v>
      </c>
      <c r="AA16" s="44">
        <v>6</v>
      </c>
      <c r="AB16" s="44">
        <v>2</v>
      </c>
      <c r="AC16" s="44">
        <v>0</v>
      </c>
      <c r="AD16" s="44">
        <v>0</v>
      </c>
      <c r="AE16" s="44">
        <v>4</v>
      </c>
      <c r="AF16" s="102">
        <f>IFERROR(Tabel2[[#This Row],[Kans  ]]*SUM(Tabel2[[#This Row],[Tijd  ]:[Omgeving  ]]),0)</f>
        <v>24</v>
      </c>
      <c r="AG16" s="103">
        <f>VLOOKUP(Tabel2[[#This Row],[Kans  ]],KWANTIFICEERTABELLEN!$B$19:$J$26,8,FALSE())</f>
        <v>0.1</v>
      </c>
      <c r="AH16"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7500</v>
      </c>
      <c r="AI16" s="104">
        <f>IFERROR(Tabel2[[#This Row],[Kans   ]]*Tabel2[[#This Row],[Rekenwaarde kosten]],0)</f>
        <v>750</v>
      </c>
      <c r="AJ16"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6 - 8 weken</v>
      </c>
    </row>
    <row r="17" spans="2:36" s="41" customFormat="1" ht="135" hidden="1" customHeight="1" x14ac:dyDescent="0.3">
      <c r="B17" s="100">
        <v>6</v>
      </c>
      <c r="C17" s="100"/>
      <c r="D17" s="51" t="s">
        <v>370</v>
      </c>
      <c r="E17" s="51"/>
      <c r="F17" s="51"/>
      <c r="G17" s="101"/>
      <c r="H17" s="43" t="s">
        <v>62</v>
      </c>
      <c r="I17" s="36"/>
      <c r="J17" s="43" t="s">
        <v>7</v>
      </c>
      <c r="K17" s="43" t="s">
        <v>7</v>
      </c>
      <c r="L17" s="46"/>
      <c r="M17" s="44"/>
      <c r="N17" s="44"/>
      <c r="O17" s="44"/>
      <c r="P17" s="44"/>
      <c r="Q17" s="44"/>
      <c r="R17" s="102">
        <f>IFERROR(Tabel2[[#This Row],[Kans]]*SUM(Tabel2[[#This Row],[Tijd]:[Omgeving]]),0)</f>
        <v>0</v>
      </c>
      <c r="S17" s="103"/>
      <c r="T17" s="104"/>
      <c r="U17" s="104"/>
      <c r="V17" s="110" t="s">
        <v>371</v>
      </c>
      <c r="W17" s="44" t="s">
        <v>372</v>
      </c>
      <c r="X17" s="45" t="s">
        <v>373</v>
      </c>
      <c r="Y17" s="48"/>
      <c r="Z17" s="46"/>
      <c r="AA17" s="44"/>
      <c r="AB17" s="44"/>
      <c r="AC17" s="44"/>
      <c r="AD17" s="44"/>
      <c r="AE17" s="44"/>
      <c r="AF17" s="102">
        <f>IFERROR(Tabel2[[#This Row],[Kans  ]]*SUM(Tabel2[[#This Row],[Tijd  ]:[Omgeving  ]]),0)</f>
        <v>0</v>
      </c>
      <c r="AG17" s="103">
        <f>VLOOKUP(Tabel2[[#This Row],[Kans  ]],KWANTIFICEERTABELLEN!$B$19:$J$26,8,FALSE())</f>
        <v>0</v>
      </c>
      <c r="AH17"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0</v>
      </c>
      <c r="AI17" s="104">
        <f>IFERROR(Tabel2[[#This Row],[Kans   ]]*Tabel2[[#This Row],[Rekenwaarde kosten]],0)</f>
        <v>0</v>
      </c>
      <c r="AJ17"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Geen impact</v>
      </c>
    </row>
    <row r="18" spans="2:36" s="41" customFormat="1" ht="78.75" hidden="1" customHeight="1" x14ac:dyDescent="0.3">
      <c r="B18" s="100">
        <v>7</v>
      </c>
      <c r="C18" s="100"/>
      <c r="D18" s="51" t="s">
        <v>374</v>
      </c>
      <c r="E18" s="51"/>
      <c r="F18" s="51"/>
      <c r="G18" s="101"/>
      <c r="H18" s="36" t="s">
        <v>62</v>
      </c>
      <c r="I18" s="36"/>
      <c r="J18" s="36" t="s">
        <v>7</v>
      </c>
      <c r="K18" s="36" t="s">
        <v>8</v>
      </c>
      <c r="L18" s="46"/>
      <c r="M18" s="44"/>
      <c r="N18" s="44"/>
      <c r="O18" s="44"/>
      <c r="P18" s="44"/>
      <c r="Q18" s="44"/>
      <c r="R18" s="102">
        <f>IFERROR(Tabel2[[#This Row],[Kans]]*SUM(Tabel2[[#This Row],[Tijd]:[Omgeving]]),0)</f>
        <v>0</v>
      </c>
      <c r="S18" s="103"/>
      <c r="T18" s="104"/>
      <c r="U18" s="104"/>
      <c r="V18" s="111" t="s">
        <v>375</v>
      </c>
      <c r="W18" s="47" t="s">
        <v>376</v>
      </c>
      <c r="X18" s="98"/>
      <c r="Y18" s="48"/>
      <c r="Z18" s="46"/>
      <c r="AA18" s="44"/>
      <c r="AB18" s="44"/>
      <c r="AC18" s="44"/>
      <c r="AD18" s="44"/>
      <c r="AE18" s="44"/>
      <c r="AF18" s="102">
        <f>IFERROR(Tabel2[[#This Row],[Kans  ]]*SUM(Tabel2[[#This Row],[Tijd  ]:[Omgeving  ]]),0)</f>
        <v>0</v>
      </c>
      <c r="AG18" s="103">
        <f>VLOOKUP(Tabel2[[#This Row],[Kans  ]],KWANTIFICEERTABELLEN!$B$19:$J$26,8,FALSE())</f>
        <v>0</v>
      </c>
      <c r="AH18"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0</v>
      </c>
      <c r="AI18" s="104">
        <f>IFERROR(Tabel2[[#This Row],[Kans   ]]*Tabel2[[#This Row],[Rekenwaarde kosten]],0)</f>
        <v>0</v>
      </c>
      <c r="AJ18"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Geen impact</v>
      </c>
    </row>
    <row r="19" spans="2:36" s="41" customFormat="1" ht="143.25" customHeight="1" x14ac:dyDescent="0.3">
      <c r="B19" s="100">
        <v>21</v>
      </c>
      <c r="C19" s="135" t="s">
        <v>574</v>
      </c>
      <c r="D19" s="51" t="s">
        <v>68</v>
      </c>
      <c r="E19" s="51" t="s">
        <v>69</v>
      </c>
      <c r="F19" s="51" t="s">
        <v>70</v>
      </c>
      <c r="G19" s="101"/>
      <c r="H19" s="42" t="s">
        <v>54</v>
      </c>
      <c r="I19" s="36" t="s">
        <v>63</v>
      </c>
      <c r="J19" s="43" t="s">
        <v>7</v>
      </c>
      <c r="K19" s="43" t="s">
        <v>7</v>
      </c>
      <c r="L19" s="46">
        <v>5</v>
      </c>
      <c r="M19" s="44">
        <v>6</v>
      </c>
      <c r="N19" s="44">
        <v>0</v>
      </c>
      <c r="O19" s="44">
        <v>0</v>
      </c>
      <c r="P19" s="44">
        <v>0</v>
      </c>
      <c r="Q19" s="44">
        <v>4</v>
      </c>
      <c r="R19" s="102">
        <f>IFERROR(Tabel2[[#This Row],[Kans]]*SUM(Tabel2[[#This Row],[Tijd]:[Omgeving]]),0)</f>
        <v>50</v>
      </c>
      <c r="S19" s="103"/>
      <c r="T19" s="104"/>
      <c r="U19" s="104"/>
      <c r="V19" s="105" t="s">
        <v>71</v>
      </c>
      <c r="W19" s="47" t="s">
        <v>72</v>
      </c>
      <c r="X19" s="45" t="s">
        <v>67</v>
      </c>
      <c r="Y19" s="48"/>
      <c r="Z19" s="46">
        <v>4</v>
      </c>
      <c r="AA19" s="44">
        <v>6</v>
      </c>
      <c r="AB19" s="44">
        <v>6</v>
      </c>
      <c r="AC19" s="44">
        <v>6</v>
      </c>
      <c r="AD19" s="44">
        <v>0</v>
      </c>
      <c r="AE19" s="44">
        <v>1</v>
      </c>
      <c r="AF19" s="102">
        <f>IFERROR(Tabel2[[#This Row],[Kans  ]]*SUM(Tabel2[[#This Row],[Tijd  ]:[Omgeving  ]]),0)</f>
        <v>76</v>
      </c>
      <c r="AG19" s="103">
        <f>VLOOKUP(Tabel2[[#This Row],[Kans  ]],KWANTIFICEERTABELLEN!$B$19:$J$26,8,FALSE())</f>
        <v>0.3</v>
      </c>
      <c r="AH19"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87500</v>
      </c>
      <c r="AI19" s="104">
        <f>IFERROR(Tabel2[[#This Row],[Kans   ]]*Tabel2[[#This Row],[Rekenwaarde kosten]],0)</f>
        <v>26250</v>
      </c>
      <c r="AJ19"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6 - 8 weken</v>
      </c>
    </row>
    <row r="20" spans="2:36" s="41" customFormat="1" ht="92.25" hidden="1" customHeight="1" x14ac:dyDescent="0.3">
      <c r="B20" s="100">
        <v>9</v>
      </c>
      <c r="C20" s="100"/>
      <c r="D20" s="51" t="s">
        <v>377</v>
      </c>
      <c r="E20" s="51"/>
      <c r="F20" s="51"/>
      <c r="G20" s="101"/>
      <c r="H20" s="43" t="s">
        <v>62</v>
      </c>
      <c r="I20" s="36"/>
      <c r="J20" s="43" t="s">
        <v>7</v>
      </c>
      <c r="K20" s="43" t="s">
        <v>7</v>
      </c>
      <c r="L20" s="46"/>
      <c r="M20" s="44"/>
      <c r="N20" s="44"/>
      <c r="O20" s="44"/>
      <c r="P20" s="44"/>
      <c r="Q20" s="44"/>
      <c r="R20" s="102">
        <f>IFERROR(Tabel2[[#This Row],[Kans]]*SUM(Tabel2[[#This Row],[Tijd]:[Omgeving]]),0)</f>
        <v>0</v>
      </c>
      <c r="S20" s="103"/>
      <c r="T20" s="104"/>
      <c r="U20" s="104"/>
      <c r="V20" s="110" t="s">
        <v>378</v>
      </c>
      <c r="W20" s="47" t="s">
        <v>379</v>
      </c>
      <c r="X20" s="45" t="s">
        <v>380</v>
      </c>
      <c r="Y20" s="48"/>
      <c r="Z20" s="46"/>
      <c r="AA20" s="44"/>
      <c r="AB20" s="44"/>
      <c r="AC20" s="44"/>
      <c r="AD20" s="44"/>
      <c r="AE20" s="44"/>
      <c r="AF20" s="102">
        <f>IFERROR(Tabel2[[#This Row],[Kans  ]]*SUM(Tabel2[[#This Row],[Tijd  ]:[Omgeving  ]]),0)</f>
        <v>0</v>
      </c>
      <c r="AG20" s="103">
        <f>VLOOKUP(Tabel2[[#This Row],[Kans  ]],KWANTIFICEERTABELLEN!$B$19:$J$26,8,FALSE())</f>
        <v>0</v>
      </c>
      <c r="AH20"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0</v>
      </c>
      <c r="AI20" s="104">
        <f>IFERROR(Tabel2[[#This Row],[Kans   ]]*Tabel2[[#This Row],[Rekenwaarde kosten]],0)</f>
        <v>0</v>
      </c>
      <c r="AJ20"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Geen impact</v>
      </c>
    </row>
    <row r="21" spans="2:36" s="41" customFormat="1" ht="149.25" hidden="1" customHeight="1" x14ac:dyDescent="0.3">
      <c r="B21" s="100">
        <v>10</v>
      </c>
      <c r="C21" s="100"/>
      <c r="D21" s="51" t="s">
        <v>381</v>
      </c>
      <c r="E21" s="51"/>
      <c r="F21" s="51"/>
      <c r="G21" s="101"/>
      <c r="H21" s="43" t="s">
        <v>62</v>
      </c>
      <c r="I21" s="36"/>
      <c r="J21" s="43" t="s">
        <v>7</v>
      </c>
      <c r="K21" s="43" t="s">
        <v>8</v>
      </c>
      <c r="L21" s="46"/>
      <c r="M21" s="44"/>
      <c r="N21" s="44"/>
      <c r="O21" s="44"/>
      <c r="P21" s="44"/>
      <c r="Q21" s="44"/>
      <c r="R21" s="102">
        <f>IFERROR(Tabel2[[#This Row],[Kans]]*SUM(Tabel2[[#This Row],[Tijd]:[Omgeving]]),0)</f>
        <v>0</v>
      </c>
      <c r="S21" s="103"/>
      <c r="T21" s="104"/>
      <c r="U21" s="104"/>
      <c r="V21" s="105" t="s">
        <v>382</v>
      </c>
      <c r="W21" s="47" t="s">
        <v>383</v>
      </c>
      <c r="X21" s="45" t="s">
        <v>384</v>
      </c>
      <c r="Y21" s="48"/>
      <c r="Z21" s="46"/>
      <c r="AA21" s="44"/>
      <c r="AB21" s="44"/>
      <c r="AC21" s="44"/>
      <c r="AD21" s="44"/>
      <c r="AE21" s="44"/>
      <c r="AF21" s="102">
        <f>IFERROR(Tabel2[[#This Row],[Kans  ]]*SUM(Tabel2[[#This Row],[Tijd  ]:[Omgeving  ]]),0)</f>
        <v>0</v>
      </c>
      <c r="AG21" s="103">
        <f>VLOOKUP(Tabel2[[#This Row],[Kans  ]],KWANTIFICEERTABELLEN!$B$19:$J$26,8,FALSE())</f>
        <v>0</v>
      </c>
      <c r="AH21"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0</v>
      </c>
      <c r="AI21" s="104">
        <f>IFERROR(Tabel2[[#This Row],[Kans   ]]*Tabel2[[#This Row],[Rekenwaarde kosten]],0)</f>
        <v>0</v>
      </c>
      <c r="AJ21"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Geen impact</v>
      </c>
    </row>
    <row r="22" spans="2:36" s="41" customFormat="1" ht="158.25" hidden="1" customHeight="1" x14ac:dyDescent="0.3">
      <c r="B22" s="100">
        <v>11</v>
      </c>
      <c r="C22" s="100"/>
      <c r="D22" s="51" t="s">
        <v>385</v>
      </c>
      <c r="E22" s="51"/>
      <c r="F22" s="51"/>
      <c r="G22" s="101" t="s">
        <v>386</v>
      </c>
      <c r="H22" s="96" t="s">
        <v>62</v>
      </c>
      <c r="I22" s="36"/>
      <c r="J22" s="36" t="s">
        <v>64</v>
      </c>
      <c r="K22" s="43" t="s">
        <v>8</v>
      </c>
      <c r="L22" s="46"/>
      <c r="M22" s="44"/>
      <c r="N22" s="44"/>
      <c r="O22" s="44"/>
      <c r="P22" s="44"/>
      <c r="Q22" s="44"/>
      <c r="R22" s="102">
        <f>IFERROR(Tabel2[[#This Row],[Kans]]*SUM(Tabel2[[#This Row],[Tijd]:[Omgeving]]),0)</f>
        <v>0</v>
      </c>
      <c r="S22" s="103"/>
      <c r="T22" s="104"/>
      <c r="U22" s="104"/>
      <c r="V22" s="105" t="s">
        <v>387</v>
      </c>
      <c r="W22" s="47" t="s">
        <v>388</v>
      </c>
      <c r="X22" s="45" t="s">
        <v>389</v>
      </c>
      <c r="Y22" s="48"/>
      <c r="Z22" s="46"/>
      <c r="AA22" s="44"/>
      <c r="AB22" s="44"/>
      <c r="AC22" s="44"/>
      <c r="AD22" s="44"/>
      <c r="AE22" s="44"/>
      <c r="AF22" s="102">
        <f>IFERROR(Tabel2[[#This Row],[Kans  ]]*SUM(Tabel2[[#This Row],[Tijd  ]:[Omgeving  ]]),0)</f>
        <v>0</v>
      </c>
      <c r="AG22" s="103">
        <f>VLOOKUP(Tabel2[[#This Row],[Kans  ]],KWANTIFICEERTABELLEN!$B$19:$J$26,8,FALSE())</f>
        <v>0</v>
      </c>
      <c r="AH22"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0</v>
      </c>
      <c r="AI22" s="104">
        <f>IFERROR(Tabel2[[#This Row],[Kans   ]]*Tabel2[[#This Row],[Rekenwaarde kosten]],0)</f>
        <v>0</v>
      </c>
      <c r="AJ22"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Geen impact</v>
      </c>
    </row>
    <row r="23" spans="2:36" s="41" customFormat="1" ht="105.75" hidden="1" customHeight="1" x14ac:dyDescent="0.3">
      <c r="B23" s="100">
        <v>12</v>
      </c>
      <c r="C23" s="100"/>
      <c r="D23" s="51" t="s">
        <v>390</v>
      </c>
      <c r="E23" s="51"/>
      <c r="F23" s="51"/>
      <c r="G23" s="101"/>
      <c r="H23" s="43" t="s">
        <v>62</v>
      </c>
      <c r="I23" s="36"/>
      <c r="J23" s="43" t="s">
        <v>55</v>
      </c>
      <c r="K23" s="43" t="s">
        <v>8</v>
      </c>
      <c r="L23" s="46"/>
      <c r="M23" s="44"/>
      <c r="N23" s="44"/>
      <c r="O23" s="44"/>
      <c r="P23" s="44"/>
      <c r="Q23" s="44"/>
      <c r="R23" s="102">
        <f>IFERROR(Tabel2[[#This Row],[Kans]]*SUM(Tabel2[[#This Row],[Tijd]:[Omgeving]]),0)</f>
        <v>0</v>
      </c>
      <c r="S23" s="103"/>
      <c r="T23" s="104"/>
      <c r="U23" s="104"/>
      <c r="V23" s="105" t="s">
        <v>391</v>
      </c>
      <c r="W23" s="44" t="s">
        <v>372</v>
      </c>
      <c r="X23" s="45" t="s">
        <v>67</v>
      </c>
      <c r="Y23" s="48"/>
      <c r="Z23" s="46"/>
      <c r="AA23" s="44"/>
      <c r="AB23" s="44"/>
      <c r="AC23" s="44"/>
      <c r="AD23" s="44"/>
      <c r="AE23" s="44"/>
      <c r="AF23" s="102">
        <f>IFERROR(Tabel2[[#This Row],[Kans  ]]*SUM(Tabel2[[#This Row],[Tijd  ]:[Omgeving  ]]),0)</f>
        <v>0</v>
      </c>
      <c r="AG23" s="103">
        <f>VLOOKUP(Tabel2[[#This Row],[Kans  ]],KWANTIFICEERTABELLEN!$B$19:$J$26,8,FALSE())</f>
        <v>0</v>
      </c>
      <c r="AH23"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0</v>
      </c>
      <c r="AI23" s="104">
        <f>IFERROR(Tabel2[[#This Row],[Kans   ]]*Tabel2[[#This Row],[Rekenwaarde kosten]],0)</f>
        <v>0</v>
      </c>
      <c r="AJ23"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Geen impact</v>
      </c>
    </row>
    <row r="24" spans="2:36" s="41" customFormat="1" ht="105" hidden="1" customHeight="1" x14ac:dyDescent="0.3">
      <c r="B24" s="100">
        <v>13</v>
      </c>
      <c r="C24" s="100"/>
      <c r="D24" s="51" t="s">
        <v>392</v>
      </c>
      <c r="E24" s="51"/>
      <c r="F24" s="51"/>
      <c r="G24" s="101"/>
      <c r="H24" s="43" t="s">
        <v>62</v>
      </c>
      <c r="I24" s="36"/>
      <c r="J24" s="43" t="s">
        <v>7</v>
      </c>
      <c r="K24" s="43" t="s">
        <v>7</v>
      </c>
      <c r="L24" s="46"/>
      <c r="M24" s="44"/>
      <c r="N24" s="44"/>
      <c r="O24" s="44"/>
      <c r="P24" s="44"/>
      <c r="Q24" s="44"/>
      <c r="R24" s="102">
        <f>IFERROR(Tabel2[[#This Row],[Kans]]*SUM(Tabel2[[#This Row],[Tijd]:[Omgeving]]),0)</f>
        <v>0</v>
      </c>
      <c r="S24" s="103"/>
      <c r="T24" s="104"/>
      <c r="U24" s="104"/>
      <c r="V24" s="105" t="s">
        <v>393</v>
      </c>
      <c r="W24" s="42" t="s">
        <v>394</v>
      </c>
      <c r="X24" s="48" t="s">
        <v>395</v>
      </c>
      <c r="Y24" s="48"/>
      <c r="Z24" s="46"/>
      <c r="AA24" s="44"/>
      <c r="AB24" s="44"/>
      <c r="AC24" s="44"/>
      <c r="AD24" s="44"/>
      <c r="AE24" s="44"/>
      <c r="AF24" s="102">
        <f>IFERROR(Tabel2[[#This Row],[Kans  ]]*SUM(Tabel2[[#This Row],[Tijd  ]:[Omgeving  ]]),0)</f>
        <v>0</v>
      </c>
      <c r="AG24" s="103">
        <f>VLOOKUP(Tabel2[[#This Row],[Kans  ]],KWANTIFICEERTABELLEN!$B$19:$J$26,8,FALSE())</f>
        <v>0</v>
      </c>
      <c r="AH24"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0</v>
      </c>
      <c r="AI24" s="104">
        <f>IFERROR(Tabel2[[#This Row],[Kans   ]]*Tabel2[[#This Row],[Rekenwaarde kosten]],0)</f>
        <v>0</v>
      </c>
      <c r="AJ24"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Geen impact</v>
      </c>
    </row>
    <row r="25" spans="2:36" s="41" customFormat="1" ht="129.75" hidden="1" customHeight="1" x14ac:dyDescent="0.3">
      <c r="B25" s="100">
        <v>14</v>
      </c>
      <c r="C25" s="100"/>
      <c r="D25" s="51" t="s">
        <v>396</v>
      </c>
      <c r="E25" s="51"/>
      <c r="F25" s="51"/>
      <c r="G25" s="101"/>
      <c r="H25" s="36" t="s">
        <v>62</v>
      </c>
      <c r="I25" s="36"/>
      <c r="J25" s="42" t="s">
        <v>7</v>
      </c>
      <c r="K25" s="42" t="s">
        <v>7</v>
      </c>
      <c r="L25" s="46"/>
      <c r="M25" s="44"/>
      <c r="N25" s="44"/>
      <c r="O25" s="44"/>
      <c r="P25" s="44"/>
      <c r="Q25" s="44"/>
      <c r="R25" s="102">
        <f>IFERROR(Tabel2[[#This Row],[Kans]]*SUM(Tabel2[[#This Row],[Tijd]:[Omgeving]]),0)</f>
        <v>0</v>
      </c>
      <c r="S25" s="103"/>
      <c r="T25" s="104"/>
      <c r="U25" s="104"/>
      <c r="V25" s="105" t="s">
        <v>397</v>
      </c>
      <c r="W25" s="112"/>
      <c r="X25" s="45"/>
      <c r="Y25" s="48"/>
      <c r="Z25" s="113"/>
      <c r="AA25" s="44"/>
      <c r="AB25" s="44"/>
      <c r="AC25" s="44"/>
      <c r="AD25" s="44"/>
      <c r="AE25" s="44"/>
      <c r="AF25" s="102">
        <f>IFERROR(Tabel2[[#This Row],[Kans  ]]*SUM(Tabel2[[#This Row],[Tijd  ]:[Omgeving  ]]),0)</f>
        <v>0</v>
      </c>
      <c r="AG25" s="103">
        <f>VLOOKUP(Tabel2[[#This Row],[Kans  ]],KWANTIFICEERTABELLEN!$B$19:$J$26,8,FALSE())</f>
        <v>0</v>
      </c>
      <c r="AH25"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0</v>
      </c>
      <c r="AI25" s="104">
        <f>IFERROR(Tabel2[[#This Row],[Kans   ]]*Tabel2[[#This Row],[Rekenwaarde kosten]],0)</f>
        <v>0</v>
      </c>
      <c r="AJ25"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Geen impact</v>
      </c>
    </row>
    <row r="26" spans="2:36" s="41" customFormat="1" ht="66" hidden="1" customHeight="1" x14ac:dyDescent="0.3">
      <c r="B26" s="100">
        <v>15</v>
      </c>
      <c r="C26" s="100"/>
      <c r="D26" s="51" t="s">
        <v>398</v>
      </c>
      <c r="E26" s="51"/>
      <c r="F26" s="51"/>
      <c r="G26" s="101"/>
      <c r="H26" s="43" t="s">
        <v>62</v>
      </c>
      <c r="I26" s="36"/>
      <c r="J26" s="43" t="s">
        <v>55</v>
      </c>
      <c r="K26" s="43" t="s">
        <v>7</v>
      </c>
      <c r="L26" s="46"/>
      <c r="M26" s="44"/>
      <c r="N26" s="44"/>
      <c r="O26" s="44"/>
      <c r="P26" s="44"/>
      <c r="Q26" s="44"/>
      <c r="R26" s="102">
        <f>IFERROR(Tabel2[[#This Row],[Kans]]*SUM(Tabel2[[#This Row],[Tijd]:[Omgeving]]),0)</f>
        <v>0</v>
      </c>
      <c r="S26" s="103"/>
      <c r="T26" s="104"/>
      <c r="U26" s="104"/>
      <c r="V26" s="105" t="s">
        <v>399</v>
      </c>
      <c r="W26" s="47" t="s">
        <v>400</v>
      </c>
      <c r="X26" s="45" t="s">
        <v>401</v>
      </c>
      <c r="Y26" s="48"/>
      <c r="Z26" s="46"/>
      <c r="AA26" s="44"/>
      <c r="AB26" s="44"/>
      <c r="AC26" s="44"/>
      <c r="AD26" s="44"/>
      <c r="AE26" s="44"/>
      <c r="AF26" s="102">
        <f>IFERROR(Tabel2[[#This Row],[Kans  ]]*SUM(Tabel2[[#This Row],[Tijd  ]:[Omgeving  ]]),0)</f>
        <v>0</v>
      </c>
      <c r="AG26" s="103">
        <f>VLOOKUP(Tabel2[[#This Row],[Kans  ]],KWANTIFICEERTABELLEN!$B$19:$J$26,8,FALSE())</f>
        <v>0</v>
      </c>
      <c r="AH26"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0</v>
      </c>
      <c r="AI26" s="104">
        <f>IFERROR(Tabel2[[#This Row],[Kans   ]]*Tabel2[[#This Row],[Rekenwaarde kosten]],0)</f>
        <v>0</v>
      </c>
      <c r="AJ26"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Geen impact</v>
      </c>
    </row>
    <row r="27" spans="2:36" s="41" customFormat="1" ht="151.5" hidden="1" customHeight="1" x14ac:dyDescent="0.3">
      <c r="B27" s="100">
        <v>16</v>
      </c>
      <c r="C27" s="100"/>
      <c r="D27" s="51" t="s">
        <v>402</v>
      </c>
      <c r="E27" s="51"/>
      <c r="F27" s="51"/>
      <c r="G27" s="101"/>
      <c r="H27" s="43" t="s">
        <v>62</v>
      </c>
      <c r="I27" s="36"/>
      <c r="J27" s="43" t="s">
        <v>7</v>
      </c>
      <c r="K27" s="43" t="s">
        <v>7</v>
      </c>
      <c r="L27" s="46"/>
      <c r="M27" s="44"/>
      <c r="N27" s="44"/>
      <c r="O27" s="44"/>
      <c r="P27" s="44"/>
      <c r="Q27" s="44"/>
      <c r="R27" s="102">
        <f>IFERROR(Tabel2[[#This Row],[Kans]]*SUM(Tabel2[[#This Row],[Tijd]:[Omgeving]]),0)</f>
        <v>0</v>
      </c>
      <c r="S27" s="103"/>
      <c r="T27" s="104"/>
      <c r="U27" s="104"/>
      <c r="V27" s="105"/>
      <c r="W27" s="112"/>
      <c r="X27" s="45"/>
      <c r="Y27" s="48"/>
      <c r="Z27" s="46"/>
      <c r="AA27" s="44"/>
      <c r="AB27" s="44"/>
      <c r="AC27" s="44"/>
      <c r="AD27" s="44"/>
      <c r="AE27" s="44"/>
      <c r="AF27" s="102">
        <f>IFERROR(Tabel2[[#This Row],[Kans  ]]*SUM(Tabel2[[#This Row],[Tijd  ]:[Omgeving  ]]),0)</f>
        <v>0</v>
      </c>
      <c r="AG27" s="103">
        <f>VLOOKUP(Tabel2[[#This Row],[Kans  ]],KWANTIFICEERTABELLEN!$B$19:$J$26,8,FALSE())</f>
        <v>0</v>
      </c>
      <c r="AH27"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0</v>
      </c>
      <c r="AI27" s="104">
        <f>IFERROR(Tabel2[[#This Row],[Kans   ]]*Tabel2[[#This Row],[Rekenwaarde kosten]],0)</f>
        <v>0</v>
      </c>
      <c r="AJ27"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Geen impact</v>
      </c>
    </row>
    <row r="28" spans="2:36" s="41" customFormat="1" ht="142.5" customHeight="1" x14ac:dyDescent="0.3">
      <c r="B28" s="100">
        <v>69</v>
      </c>
      <c r="C28" s="135" t="s">
        <v>575</v>
      </c>
      <c r="D28" s="52" t="s">
        <v>267</v>
      </c>
      <c r="E28" s="52" t="s">
        <v>268</v>
      </c>
      <c r="F28" s="52" t="s">
        <v>269</v>
      </c>
      <c r="G28" s="109"/>
      <c r="H28" s="43" t="s">
        <v>96</v>
      </c>
      <c r="I28" s="36" t="s">
        <v>77</v>
      </c>
      <c r="J28" s="36" t="s">
        <v>64</v>
      </c>
      <c r="K28" s="36" t="s">
        <v>8</v>
      </c>
      <c r="L28" s="39">
        <v>6</v>
      </c>
      <c r="M28" s="40">
        <v>5</v>
      </c>
      <c r="N28" s="40">
        <v>7</v>
      </c>
      <c r="O28" s="40">
        <v>3</v>
      </c>
      <c r="P28" s="40">
        <v>0</v>
      </c>
      <c r="Q28" s="40">
        <v>0</v>
      </c>
      <c r="R28" s="102">
        <f>IFERROR(Tabel2[[#This Row],[Kans]]*SUM(Tabel2[[#This Row],[Tijd]:[Omgeving]]),0)</f>
        <v>90</v>
      </c>
      <c r="S28" s="103">
        <f>IF(F$2&lt;KWANTIFICEERTABELLEN!B$17,_xlfn.XLOOKUP(Tabel2[[#This Row],[Kans]],KWANTIFICEERTABELLEN!$B$6:$B$13,KWANTIFICEERTABELLEN!I$6:I$13,),
IF(AND(F$2&gt;KWANTIFICEERTABELLEN!B$17,$F$2&lt;KWANTIFICEERTABELLEN!B$30),_xlfn.XLOOKUP(Tabel2[[#This Row],[Kans]],KWANTIFICEERTABELLEN!$B$19:$B$26,KWANTIFICEERTABELLEN!I$19:I$26),
IF(F$2&gt;KWANTIFICEERTABELLEN!B$30,_xlfn.XLOOKUP(Tabel2[[#This Row],[Kans]],KWANTIFICEERTABELLEN!$B$32:$B$39,KWANTIFICEERTABELLEN!I$32:I$39))))</f>
        <v>0.5</v>
      </c>
      <c r="T28" s="116"/>
      <c r="U28" s="116"/>
      <c r="V28" s="117" t="s">
        <v>270</v>
      </c>
      <c r="W28" s="42"/>
      <c r="X28" s="48"/>
      <c r="Y28" s="50"/>
      <c r="Z28" s="44">
        <v>5</v>
      </c>
      <c r="AA28" s="44">
        <v>5</v>
      </c>
      <c r="AB28" s="44">
        <v>7</v>
      </c>
      <c r="AC28" s="44">
        <v>3</v>
      </c>
      <c r="AD28" s="44">
        <v>0</v>
      </c>
      <c r="AE28" s="44">
        <v>0</v>
      </c>
      <c r="AF28" s="102">
        <f>IFERROR(Tabel2[[#This Row],[Kans  ]]*SUM(Tabel2[[#This Row],[Tijd  ]:[Omgeving  ]]),0)</f>
        <v>75</v>
      </c>
      <c r="AG28" s="103">
        <f>IF(F$2&lt;KWANTIFICEERTABELLEN!B$17,_xlfn.XLOOKUP(Tabel2[[#This Row],[Kans  ]],KWANTIFICEERTABELLEN!$B$6:$B$13,KWANTIFICEERTABELLEN!I$6:I$13,),
IF(AND(F$2&gt;KWANTIFICEERTABELLEN!B$17,$F$2&lt;KWANTIFICEERTABELLEN!B$30),_xlfn.XLOOKUP(Tabel2[[#This Row],[Kans  ]],KWANTIFICEERTABELLEN!$B$19:$B$26,KWANTIFICEERTABELLEN!I$19:I$26),
IF(F$2&gt;KWANTIFICEERTABELLEN!B$30,_xlfn.XLOOKUP(Tabel2[[#This Row],[Kans  ]],KWANTIFICEERTABELLEN!$B$32:$B$39,KWANTIFICEERTABELLEN!I$32:I$39))))</f>
        <v>0.4</v>
      </c>
      <c r="AH28" s="106">
        <f>IF(F$2&lt;KWANTIFICEERTABELLEN!B$17,_xlfn.XLOOKUP(Tabel2[[#This Row],[Geld  ]],KWANTIFICEERTABELLEN!$B$6:$B$13,KWANTIFICEERTABELLEN!J$6:J$13,),
IF(AND(F$2&gt;KWANTIFICEERTABELLEN!B$17,$F$2&lt;KWANTIFICEERTABELLEN!B$30),_xlfn.XLOOKUP(Tabel2[[#This Row],[Geld  ]],KWANTIFICEERTABELLEN!$B$19:$B$26,KWANTIFICEERTABELLEN!J$19:J$26),
IF(F$2&gt;KWANTIFICEERTABELLEN!B$30,_xlfn.XLOOKUP(Tabel2[[#This Row],[Geld  ]],KWANTIFICEERTABELLEN!$B$32:$B$39,KWANTIFICEERTABELLEN!J$32:J$39))))</f>
        <v>100000</v>
      </c>
      <c r="AI28" s="104">
        <f>IFERROR(Tabel2[[#This Row],[Kans   ]]*Tabel2[[#This Row],[Rekenwaarde kosten]],0)</f>
        <v>40000</v>
      </c>
      <c r="AJ28"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4 - 6 weken</v>
      </c>
    </row>
    <row r="29" spans="2:36" s="41" customFormat="1" ht="131.25" hidden="1" customHeight="1" x14ac:dyDescent="0.3">
      <c r="B29" s="100">
        <v>18</v>
      </c>
      <c r="C29" s="100"/>
      <c r="D29" s="51" t="s">
        <v>345</v>
      </c>
      <c r="E29" s="51" t="s">
        <v>346</v>
      </c>
      <c r="F29" s="51" t="s">
        <v>347</v>
      </c>
      <c r="G29" s="101" t="s">
        <v>348</v>
      </c>
      <c r="H29" s="42" t="s">
        <v>62</v>
      </c>
      <c r="I29" s="36" t="s">
        <v>63</v>
      </c>
      <c r="J29" s="43" t="s">
        <v>55</v>
      </c>
      <c r="K29" s="43" t="s">
        <v>7</v>
      </c>
      <c r="L29" s="46">
        <v>1</v>
      </c>
      <c r="M29" s="44">
        <v>5</v>
      </c>
      <c r="N29" s="44">
        <v>2</v>
      </c>
      <c r="O29" s="44">
        <v>0</v>
      </c>
      <c r="P29" s="44">
        <v>0</v>
      </c>
      <c r="Q29" s="44">
        <v>4</v>
      </c>
      <c r="R29" s="102">
        <f>IFERROR(Tabel2[[#This Row],[Kans]]*SUM(Tabel2[[#This Row],[Tijd]:[Omgeving]]),0)</f>
        <v>11</v>
      </c>
      <c r="S29" s="103"/>
      <c r="T29" s="104"/>
      <c r="U29" s="104"/>
      <c r="V29" s="105" t="s">
        <v>349</v>
      </c>
      <c r="W29" s="114" t="s">
        <v>350</v>
      </c>
      <c r="X29" s="45"/>
      <c r="Y29" s="48"/>
      <c r="Z29" s="46">
        <v>1</v>
      </c>
      <c r="AA29" s="44">
        <v>5</v>
      </c>
      <c r="AB29" s="44">
        <v>2</v>
      </c>
      <c r="AC29" s="44">
        <v>0</v>
      </c>
      <c r="AD29" s="44">
        <v>0</v>
      </c>
      <c r="AE29" s="44">
        <v>4</v>
      </c>
      <c r="AF29" s="102">
        <f>IFERROR(Tabel2[[#This Row],[Kans  ]]*SUM(Tabel2[[#This Row],[Tijd  ]:[Omgeving  ]]),0)</f>
        <v>11</v>
      </c>
      <c r="AG29" s="103">
        <f>VLOOKUP(Tabel2[[#This Row],[Kans  ]],KWANTIFICEERTABELLEN!$B$19:$J$26,8,FALSE())</f>
        <v>0.05</v>
      </c>
      <c r="AH29"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7500</v>
      </c>
      <c r="AI29" s="104">
        <f>IFERROR(Tabel2[[#This Row],[Kans   ]]*Tabel2[[#This Row],[Rekenwaarde kosten]],0)</f>
        <v>375</v>
      </c>
      <c r="AJ29"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4 - 6 weken</v>
      </c>
    </row>
    <row r="30" spans="2:36" s="41" customFormat="1" ht="130.5" customHeight="1" x14ac:dyDescent="0.3">
      <c r="B30" s="100">
        <v>91</v>
      </c>
      <c r="C30" s="135" t="s">
        <v>574</v>
      </c>
      <c r="D30" s="52" t="s">
        <v>73</v>
      </c>
      <c r="E30" s="52" t="s">
        <v>74</v>
      </c>
      <c r="F30" s="52" t="s">
        <v>75</v>
      </c>
      <c r="G30" s="109"/>
      <c r="H30" s="42" t="s">
        <v>76</v>
      </c>
      <c r="I30" s="36" t="s">
        <v>77</v>
      </c>
      <c r="J30" s="36" t="s">
        <v>64</v>
      </c>
      <c r="K30" s="36" t="s">
        <v>8</v>
      </c>
      <c r="L30" s="39"/>
      <c r="M30" s="40"/>
      <c r="N30" s="40"/>
      <c r="O30" s="40"/>
      <c r="P30" s="40"/>
      <c r="Q30" s="40"/>
      <c r="R30" s="102">
        <f>IFERROR(Tabel2[[#This Row],[Kans]]*SUM(Tabel2[[#This Row],[Tijd]:[Omgeving]]),0)</f>
        <v>0</v>
      </c>
      <c r="S30" s="103" t="e">
        <f>IF(F$2&lt;KWANTIFICEERTABELLEN!B$17,_xlfn.XLOOKUP(Tabel2[[#This Row],[Kans]],KWANTIFICEERTABELLEN!$B$6:$B$13,KWANTIFICEERTABELLEN!I$6:I$13,),
IF(AND(F$2&gt;KWANTIFICEERTABELLEN!B$17,$F$2&lt;KWANTIFICEERTABELLEN!B$30),_xlfn.XLOOKUP(Tabel2[[#This Row],[Kans]],KWANTIFICEERTABELLEN!$B$19:$B$26,KWANTIFICEERTABELLEN!I$19:I$26),
IF(F$2&gt;KWANTIFICEERTABELLEN!B$30,_xlfn.XLOOKUP(Tabel2[[#This Row],[Kans]],KWANTIFICEERTABELLEN!$B$32:$B$39,KWANTIFICEERTABELLEN!I$32:I$39))))</f>
        <v>#N/A</v>
      </c>
      <c r="T30" s="116"/>
      <c r="U30" s="116"/>
      <c r="V30" s="117" t="s">
        <v>78</v>
      </c>
      <c r="W30" s="42"/>
      <c r="X30" s="48"/>
      <c r="Y30" s="50"/>
      <c r="Z30" s="44">
        <v>3</v>
      </c>
      <c r="AA30" s="44">
        <v>5</v>
      </c>
      <c r="AB30" s="44">
        <v>5</v>
      </c>
      <c r="AC30" s="44">
        <v>4</v>
      </c>
      <c r="AD30" s="44">
        <v>4</v>
      </c>
      <c r="AE30" s="44">
        <v>5</v>
      </c>
      <c r="AF30" s="102">
        <f>IFERROR(Tabel2[[#This Row],[Kans  ]]*SUM(Tabel2[[#This Row],[Tijd  ]:[Omgeving  ]]),0)</f>
        <v>69</v>
      </c>
      <c r="AG30" s="103">
        <f>IF(F$2&lt;KWANTIFICEERTABELLEN!B$17,_xlfn.XLOOKUP(Tabel2[[#This Row],[Kans  ]],KWANTIFICEERTABELLEN!$B$6:$B$13,KWANTIFICEERTABELLEN!I$6:I$13,),
IF(AND(F$2&gt;KWANTIFICEERTABELLEN!B$17,$F$2&lt;KWANTIFICEERTABELLEN!B$30),_xlfn.XLOOKUP(Tabel2[[#This Row],[Kans  ]],KWANTIFICEERTABELLEN!$B$19:$B$26,KWANTIFICEERTABELLEN!I$19:I$26),
IF(F$2&gt;KWANTIFICEERTABELLEN!B$30,_xlfn.XLOOKUP(Tabel2[[#This Row],[Kans  ]],KWANTIFICEERTABELLEN!$B$32:$B$39,KWANTIFICEERTABELLEN!I$32:I$39))))</f>
        <v>0.2</v>
      </c>
      <c r="AH30" s="106">
        <f>IF(F$2&lt;KWANTIFICEERTABELLEN!B$17,_xlfn.XLOOKUP(Tabel2[[#This Row],[Geld  ]],KWANTIFICEERTABELLEN!$B$6:$B$13,KWANTIFICEERTABELLEN!J$6:J$13,),
IF(AND(F$2&gt;KWANTIFICEERTABELLEN!B$17,$F$2&lt;KWANTIFICEERTABELLEN!B$30),_xlfn.XLOOKUP(Tabel2[[#This Row],[Geld  ]],KWANTIFICEERTABELLEN!$B$19:$B$26,KWANTIFICEERTABELLEN!J$19:J$26),
IF(F$2&gt;KWANTIFICEERTABELLEN!B$30,_xlfn.XLOOKUP(Tabel2[[#This Row],[Geld  ]],KWANTIFICEERTABELLEN!$B$32:$B$39,KWANTIFICEERTABELLEN!J$32:J$39))))</f>
        <v>67500</v>
      </c>
      <c r="AI30" s="104">
        <f>IFERROR(Tabel2[[#This Row],[Kans   ]]*Tabel2[[#This Row],[Rekenwaarde kosten]],0)</f>
        <v>13500</v>
      </c>
      <c r="AJ30"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4 - 6 weken</v>
      </c>
    </row>
    <row r="31" spans="2:36" s="41" customFormat="1" ht="114" hidden="1" customHeight="1" x14ac:dyDescent="0.3">
      <c r="B31" s="100">
        <v>2</v>
      </c>
      <c r="C31" s="135" t="s">
        <v>574</v>
      </c>
      <c r="D31" s="51" t="s">
        <v>79</v>
      </c>
      <c r="E31" s="51" t="s">
        <v>80</v>
      </c>
      <c r="F31" s="51" t="s">
        <v>81</v>
      </c>
      <c r="G31" s="101"/>
      <c r="H31" s="36" t="s">
        <v>62</v>
      </c>
      <c r="I31" s="36" t="s">
        <v>83</v>
      </c>
      <c r="J31" s="36" t="s">
        <v>7</v>
      </c>
      <c r="K31" s="36" t="s">
        <v>8</v>
      </c>
      <c r="L31" s="46"/>
      <c r="M31" s="44"/>
      <c r="N31" s="44"/>
      <c r="O31" s="44"/>
      <c r="P31" s="44"/>
      <c r="Q31" s="44"/>
      <c r="R31" s="102">
        <f>IFERROR(Tabel2[[#This Row],[Kans]]*SUM(Tabel2[[#This Row],[Tijd]:[Omgeving]]),0)</f>
        <v>0</v>
      </c>
      <c r="S31" s="103"/>
      <c r="T31" s="104"/>
      <c r="U31" s="104"/>
      <c r="V31" s="108" t="s">
        <v>84</v>
      </c>
      <c r="W31" s="47" t="s">
        <v>85</v>
      </c>
      <c r="X31" s="49" t="s">
        <v>577</v>
      </c>
      <c r="Y31" s="137" t="s">
        <v>576</v>
      </c>
      <c r="Z31" s="46">
        <v>6</v>
      </c>
      <c r="AA31" s="44">
        <v>6</v>
      </c>
      <c r="AB31" s="44">
        <v>4</v>
      </c>
      <c r="AC31" s="44">
        <v>0</v>
      </c>
      <c r="AD31" s="44">
        <v>0</v>
      </c>
      <c r="AE31" s="44">
        <v>0</v>
      </c>
      <c r="AF31" s="102">
        <f>IFERROR(Tabel2[[#This Row],[Kans  ]]*SUM(Tabel2[[#This Row],[Tijd  ]:[Omgeving  ]]),0)</f>
        <v>60</v>
      </c>
      <c r="AG31" s="103">
        <f>VLOOKUP(Tabel2[[#This Row],[Kans  ]],KWANTIFICEERTABELLEN!$B$19:$J$26,8,FALSE())</f>
        <v>0.5</v>
      </c>
      <c r="AH31"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37500</v>
      </c>
      <c r="AI31" s="104">
        <f>IFERROR(Tabel2[[#This Row],[Kans   ]]*Tabel2[[#This Row],[Rekenwaarde kosten]],0)</f>
        <v>18750</v>
      </c>
      <c r="AJ31"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6 - 8 weken</v>
      </c>
    </row>
    <row r="32" spans="2:36" s="41" customFormat="1" ht="115.5" customHeight="1" x14ac:dyDescent="0.3">
      <c r="B32" s="100">
        <v>87</v>
      </c>
      <c r="C32" s="135" t="s">
        <v>574</v>
      </c>
      <c r="D32" s="52" t="s">
        <v>86</v>
      </c>
      <c r="E32" s="52" t="s">
        <v>87</v>
      </c>
      <c r="F32" s="52" t="s">
        <v>88</v>
      </c>
      <c r="G32" s="109" t="s">
        <v>89</v>
      </c>
      <c r="H32" s="42" t="s">
        <v>54</v>
      </c>
      <c r="I32" s="36" t="s">
        <v>63</v>
      </c>
      <c r="J32" s="36" t="s">
        <v>64</v>
      </c>
      <c r="K32" s="36" t="s">
        <v>8</v>
      </c>
      <c r="L32" s="39">
        <v>6</v>
      </c>
      <c r="M32" s="40">
        <v>2</v>
      </c>
      <c r="N32" s="40">
        <v>2</v>
      </c>
      <c r="O32" s="40">
        <v>2</v>
      </c>
      <c r="P32" s="40">
        <v>0</v>
      </c>
      <c r="Q32" s="40">
        <v>4</v>
      </c>
      <c r="R32" s="102">
        <f>IFERROR(Tabel2[[#This Row],[Kans]]*SUM(Tabel2[[#This Row],[Tijd]:[Omgeving]]),0)</f>
        <v>60</v>
      </c>
      <c r="S32" s="103">
        <f>IF(F$2&lt;KWANTIFICEERTABELLEN!B$17,_xlfn.XLOOKUP(Tabel2[[#This Row],[Kans]],KWANTIFICEERTABELLEN!$B$6:$B$13,KWANTIFICEERTABELLEN!I$6:I$13,),
IF(AND(F$2&gt;KWANTIFICEERTABELLEN!B$17,$F$2&lt;KWANTIFICEERTABELLEN!B$30),_xlfn.XLOOKUP(Tabel2[[#This Row],[Kans]],KWANTIFICEERTABELLEN!$B$19:$B$26,KWANTIFICEERTABELLEN!I$19:I$26),
IF(F$2&gt;KWANTIFICEERTABELLEN!B$30,_xlfn.XLOOKUP(Tabel2[[#This Row],[Kans]],KWANTIFICEERTABELLEN!$B$32:$B$39,KWANTIFICEERTABELLEN!I$32:I$39))))</f>
        <v>0.5</v>
      </c>
      <c r="T32" s="116"/>
      <c r="U32" s="116"/>
      <c r="V32" s="117" t="s">
        <v>90</v>
      </c>
      <c r="W32" s="42" t="s">
        <v>91</v>
      </c>
      <c r="X32" s="48" t="s">
        <v>92</v>
      </c>
      <c r="Y32" s="50"/>
      <c r="Z32" s="44">
        <v>5</v>
      </c>
      <c r="AA32" s="44">
        <v>1</v>
      </c>
      <c r="AB32" s="44">
        <v>3</v>
      </c>
      <c r="AC32" s="44">
        <v>5</v>
      </c>
      <c r="AD32" s="44">
        <v>0</v>
      </c>
      <c r="AE32" s="44">
        <v>3</v>
      </c>
      <c r="AF32" s="102">
        <f>IFERROR(Tabel2[[#This Row],[Kans  ]]*SUM(Tabel2[[#This Row],[Tijd  ]:[Omgeving  ]]),0)</f>
        <v>60</v>
      </c>
      <c r="AG32" s="103">
        <f>IF(F$2&lt;KWANTIFICEERTABELLEN!B$17,_xlfn.XLOOKUP(Tabel2[[#This Row],[Kans  ]],KWANTIFICEERTABELLEN!$B$6:$B$13,KWANTIFICEERTABELLEN!I$6:I$13,),
IF(AND(F$2&gt;KWANTIFICEERTABELLEN!B$17,$F$2&lt;KWANTIFICEERTABELLEN!B$30),_xlfn.XLOOKUP(Tabel2[[#This Row],[Kans  ]],KWANTIFICEERTABELLEN!$B$19:$B$26,KWANTIFICEERTABELLEN!I$19:I$26),
IF(F$2&gt;KWANTIFICEERTABELLEN!B$30,_xlfn.XLOOKUP(Tabel2[[#This Row],[Kans  ]],KWANTIFICEERTABELLEN!$B$32:$B$39,KWANTIFICEERTABELLEN!I$32:I$39))))</f>
        <v>0.4</v>
      </c>
      <c r="AH32" s="106">
        <f>IF(F$2&lt;KWANTIFICEERTABELLEN!B$17,_xlfn.XLOOKUP(Tabel2[[#This Row],[Geld  ]],KWANTIFICEERTABELLEN!$B$6:$B$13,KWANTIFICEERTABELLEN!J$6:J$13,),
IF(AND(F$2&gt;KWANTIFICEERTABELLEN!B$17,$F$2&lt;KWANTIFICEERTABELLEN!B$30),_xlfn.XLOOKUP(Tabel2[[#This Row],[Geld  ]],KWANTIFICEERTABELLEN!$B$19:$B$26,KWANTIFICEERTABELLEN!J$19:J$26),
IF(F$2&gt;KWANTIFICEERTABELLEN!B$30,_xlfn.XLOOKUP(Tabel2[[#This Row],[Geld  ]],KWANTIFICEERTABELLEN!$B$32:$B$39,KWANTIFICEERTABELLEN!J$32:J$39))))</f>
        <v>17500</v>
      </c>
      <c r="AI32" s="104">
        <f>IFERROR(Tabel2[[#This Row],[Kans   ]]*Tabel2[[#This Row],[Rekenwaarde kosten]],0)</f>
        <v>7000</v>
      </c>
      <c r="AJ32"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&lt; 0.5 week</v>
      </c>
    </row>
    <row r="33" spans="2:36" s="41" customFormat="1" ht="121.5" hidden="1" customHeight="1" x14ac:dyDescent="0.3">
      <c r="B33" s="100">
        <v>22</v>
      </c>
      <c r="C33" s="100"/>
      <c r="D33" s="51" t="s">
        <v>407</v>
      </c>
      <c r="E33" s="51"/>
      <c r="F33" s="51"/>
      <c r="G33" s="101"/>
      <c r="H33" s="43" t="s">
        <v>62</v>
      </c>
      <c r="I33" s="36"/>
      <c r="J33" s="43" t="s">
        <v>7</v>
      </c>
      <c r="K33" s="43" t="s">
        <v>7</v>
      </c>
      <c r="L33" s="46"/>
      <c r="M33" s="44"/>
      <c r="N33" s="44"/>
      <c r="O33" s="44"/>
      <c r="P33" s="44"/>
      <c r="Q33" s="44"/>
      <c r="R33" s="102">
        <f>IFERROR(Tabel2[[#This Row],[Kans]]*SUM(Tabel2[[#This Row],[Tijd]:[Omgeving]]),0)</f>
        <v>0</v>
      </c>
      <c r="S33" s="103"/>
      <c r="T33" s="104"/>
      <c r="U33" s="104"/>
      <c r="V33" s="105" t="s">
        <v>408</v>
      </c>
      <c r="W33" s="44" t="s">
        <v>72</v>
      </c>
      <c r="X33" s="45" t="s">
        <v>67</v>
      </c>
      <c r="Y33" s="48"/>
      <c r="Z33" s="46"/>
      <c r="AA33" s="44"/>
      <c r="AB33" s="44"/>
      <c r="AC33" s="44"/>
      <c r="AD33" s="44"/>
      <c r="AE33" s="44"/>
      <c r="AF33" s="102">
        <f>IFERROR(Tabel2[[#This Row],[Kans  ]]*SUM(Tabel2[[#This Row],[Tijd  ]:[Omgeving  ]]),0)</f>
        <v>0</v>
      </c>
      <c r="AG33" s="103">
        <f>VLOOKUP(Tabel2[[#This Row],[Kans  ]],KWANTIFICEERTABELLEN!$B$19:$J$26,8,FALSE())</f>
        <v>0</v>
      </c>
      <c r="AH33"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0</v>
      </c>
      <c r="AI33" s="104">
        <f>IFERROR(Tabel2[[#This Row],[Kans   ]]*Tabel2[[#This Row],[Rekenwaarde kosten]],0)</f>
        <v>0</v>
      </c>
      <c r="AJ33"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Geen impact</v>
      </c>
    </row>
    <row r="34" spans="2:36" s="41" customFormat="1" ht="114.75" hidden="1" customHeight="1" x14ac:dyDescent="0.3">
      <c r="B34" s="100">
        <v>23</v>
      </c>
      <c r="C34" s="100"/>
      <c r="D34" s="51" t="s">
        <v>409</v>
      </c>
      <c r="E34" s="51"/>
      <c r="F34" s="51"/>
      <c r="G34" s="101"/>
      <c r="H34" s="43" t="s">
        <v>62</v>
      </c>
      <c r="I34" s="36"/>
      <c r="J34" s="43" t="s">
        <v>7</v>
      </c>
      <c r="K34" s="43" t="s">
        <v>7</v>
      </c>
      <c r="L34" s="46"/>
      <c r="M34" s="44"/>
      <c r="N34" s="44"/>
      <c r="O34" s="44"/>
      <c r="P34" s="44"/>
      <c r="Q34" s="44"/>
      <c r="R34" s="102">
        <f>IFERROR(Tabel2[[#This Row],[Kans]]*SUM(Tabel2[[#This Row],[Tijd]:[Omgeving]]),0)</f>
        <v>0</v>
      </c>
      <c r="S34" s="103"/>
      <c r="T34" s="104"/>
      <c r="U34" s="104"/>
      <c r="V34" s="105" t="s">
        <v>410</v>
      </c>
      <c r="W34" s="44" t="s">
        <v>411</v>
      </c>
      <c r="X34" s="45"/>
      <c r="Y34" s="48"/>
      <c r="Z34" s="46"/>
      <c r="AA34" s="44"/>
      <c r="AB34" s="44"/>
      <c r="AC34" s="44"/>
      <c r="AD34" s="44"/>
      <c r="AE34" s="44"/>
      <c r="AF34" s="102">
        <f>IFERROR(Tabel2[[#This Row],[Kans  ]]*SUM(Tabel2[[#This Row],[Tijd  ]:[Omgeving  ]]),0)</f>
        <v>0</v>
      </c>
      <c r="AG34" s="103">
        <f>VLOOKUP(Tabel2[[#This Row],[Kans  ]],KWANTIFICEERTABELLEN!$B$19:$J$26,8,FALSE())</f>
        <v>0</v>
      </c>
      <c r="AH34"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0</v>
      </c>
      <c r="AI34" s="104">
        <f>IFERROR(Tabel2[[#This Row],[Kans   ]]*Tabel2[[#This Row],[Rekenwaarde kosten]],0)</f>
        <v>0</v>
      </c>
      <c r="AJ34"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Geen impact</v>
      </c>
    </row>
    <row r="35" spans="2:36" s="41" customFormat="1" ht="102" hidden="1" customHeight="1" x14ac:dyDescent="0.3">
      <c r="B35" s="100">
        <v>24</v>
      </c>
      <c r="C35" s="100"/>
      <c r="D35" s="51" t="s">
        <v>230</v>
      </c>
      <c r="E35" s="51" t="s">
        <v>231</v>
      </c>
      <c r="F35" s="51" t="s">
        <v>232</v>
      </c>
      <c r="G35" s="101"/>
      <c r="H35" s="42" t="s">
        <v>62</v>
      </c>
      <c r="I35" s="36" t="s">
        <v>63</v>
      </c>
      <c r="J35" s="43" t="s">
        <v>7</v>
      </c>
      <c r="K35" s="43" t="s">
        <v>7</v>
      </c>
      <c r="L35" s="46"/>
      <c r="M35" s="44"/>
      <c r="N35" s="44"/>
      <c r="O35" s="44"/>
      <c r="P35" s="44"/>
      <c r="Q35" s="44"/>
      <c r="R35" s="102">
        <f>IFERROR(Tabel2[[#This Row],[Kans]]*SUM(Tabel2[[#This Row],[Tijd]:[Omgeving]]),0)</f>
        <v>0</v>
      </c>
      <c r="S35" s="103"/>
      <c r="T35" s="104"/>
      <c r="U35" s="104"/>
      <c r="V35" s="105" t="s">
        <v>233</v>
      </c>
      <c r="W35" s="44" t="s">
        <v>234</v>
      </c>
      <c r="X35" s="45" t="s">
        <v>67</v>
      </c>
      <c r="Y35" s="48"/>
      <c r="Z35" s="46">
        <v>2</v>
      </c>
      <c r="AA35" s="44">
        <v>4</v>
      </c>
      <c r="AB35" s="44">
        <v>2</v>
      </c>
      <c r="AC35" s="44">
        <v>1</v>
      </c>
      <c r="AD35" s="44">
        <v>0</v>
      </c>
      <c r="AE35" s="44">
        <v>1</v>
      </c>
      <c r="AF35" s="102">
        <f>IFERROR(Tabel2[[#This Row],[Kans  ]]*SUM(Tabel2[[#This Row],[Tijd  ]:[Omgeving  ]]),0)</f>
        <v>16</v>
      </c>
      <c r="AG35" s="103">
        <f>VLOOKUP(Tabel2[[#This Row],[Kans  ]],KWANTIFICEERTABELLEN!$B$19:$J$26,8,FALSE())</f>
        <v>0.1</v>
      </c>
      <c r="AH35"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7500</v>
      </c>
      <c r="AI35" s="104">
        <f>IFERROR(Tabel2[[#This Row],[Kans   ]]*Tabel2[[#This Row],[Rekenwaarde kosten]],0)</f>
        <v>750</v>
      </c>
      <c r="AJ35"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2 - 4 weken</v>
      </c>
    </row>
    <row r="36" spans="2:36" s="41" customFormat="1" ht="135.75" hidden="1" customHeight="1" x14ac:dyDescent="0.3">
      <c r="B36" s="100">
        <v>25</v>
      </c>
      <c r="C36" s="100"/>
      <c r="D36" s="51" t="s">
        <v>412</v>
      </c>
      <c r="E36" s="51"/>
      <c r="F36" s="51"/>
      <c r="G36" s="101"/>
      <c r="H36" s="43" t="s">
        <v>413</v>
      </c>
      <c r="I36" s="36"/>
      <c r="J36" s="43" t="s">
        <v>7</v>
      </c>
      <c r="K36" s="43" t="s">
        <v>7</v>
      </c>
      <c r="L36" s="46"/>
      <c r="M36" s="44"/>
      <c r="N36" s="44"/>
      <c r="O36" s="44"/>
      <c r="P36" s="44"/>
      <c r="Q36" s="44"/>
      <c r="R36" s="102">
        <f>IFERROR(Tabel2[[#This Row],[Kans]]*SUM(Tabel2[[#This Row],[Tijd]:[Omgeving]]),0)</f>
        <v>0</v>
      </c>
      <c r="S36" s="103"/>
      <c r="T36" s="104"/>
      <c r="U36" s="104"/>
      <c r="V36" s="105"/>
      <c r="W36" s="44"/>
      <c r="X36" s="45"/>
      <c r="Y36" s="48"/>
      <c r="Z36" s="46"/>
      <c r="AA36" s="44"/>
      <c r="AB36" s="44"/>
      <c r="AC36" s="44"/>
      <c r="AD36" s="44"/>
      <c r="AE36" s="44"/>
      <c r="AF36" s="102">
        <f>IFERROR(Tabel2[[#This Row],[Kans  ]]*SUM(Tabel2[[#This Row],[Tijd  ]:[Omgeving  ]]),0)</f>
        <v>0</v>
      </c>
      <c r="AG36" s="103">
        <f>VLOOKUP(Tabel2[[#This Row],[Kans  ]],KWANTIFICEERTABELLEN!$B$19:$J$26,8,FALSE())</f>
        <v>0</v>
      </c>
      <c r="AH36"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0</v>
      </c>
      <c r="AI36" s="104">
        <f>IFERROR(Tabel2[[#This Row],[Kans   ]]*Tabel2[[#This Row],[Rekenwaarde kosten]],0)</f>
        <v>0</v>
      </c>
      <c r="AJ36"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Geen impact</v>
      </c>
    </row>
    <row r="37" spans="2:36" s="41" customFormat="1" ht="140.25" hidden="1" customHeight="1" x14ac:dyDescent="0.3">
      <c r="B37" s="100">
        <v>26</v>
      </c>
      <c r="C37" s="100"/>
      <c r="D37" s="51" t="s">
        <v>414</v>
      </c>
      <c r="E37" s="51"/>
      <c r="F37" s="51"/>
      <c r="G37" s="101"/>
      <c r="H37" s="43" t="s">
        <v>62</v>
      </c>
      <c r="I37" s="36"/>
      <c r="J37" s="43" t="s">
        <v>7</v>
      </c>
      <c r="K37" s="43" t="s">
        <v>7</v>
      </c>
      <c r="L37" s="46"/>
      <c r="M37" s="44"/>
      <c r="N37" s="44"/>
      <c r="O37" s="44"/>
      <c r="P37" s="44"/>
      <c r="Q37" s="44"/>
      <c r="R37" s="102">
        <f>IFERROR(Tabel2[[#This Row],[Kans]]*SUM(Tabel2[[#This Row],[Tijd]:[Omgeving]]),0)</f>
        <v>0</v>
      </c>
      <c r="S37" s="103"/>
      <c r="T37" s="104"/>
      <c r="U37" s="104"/>
      <c r="V37" s="105"/>
      <c r="W37" s="44"/>
      <c r="X37" s="45"/>
      <c r="Y37" s="48"/>
      <c r="Z37" s="46"/>
      <c r="AA37" s="44"/>
      <c r="AB37" s="44"/>
      <c r="AC37" s="44"/>
      <c r="AD37" s="44"/>
      <c r="AE37" s="44"/>
      <c r="AF37" s="102">
        <f>IFERROR(Tabel2[[#This Row],[Kans  ]]*SUM(Tabel2[[#This Row],[Tijd  ]:[Omgeving  ]]),0)</f>
        <v>0</v>
      </c>
      <c r="AG37" s="103">
        <f>VLOOKUP(Tabel2[[#This Row],[Kans  ]],KWANTIFICEERTABELLEN!$B$19:$J$26,8,FALSE())</f>
        <v>0</v>
      </c>
      <c r="AH37"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0</v>
      </c>
      <c r="AI37" s="104">
        <f>IFERROR(Tabel2[[#This Row],[Kans   ]]*Tabel2[[#This Row],[Rekenwaarde kosten]],0)</f>
        <v>0</v>
      </c>
      <c r="AJ37"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Geen impact</v>
      </c>
    </row>
    <row r="38" spans="2:36" s="41" customFormat="1" ht="130.5" hidden="1" customHeight="1" x14ac:dyDescent="0.3">
      <c r="B38" s="100">
        <v>27</v>
      </c>
      <c r="C38" s="100"/>
      <c r="D38" s="51" t="s">
        <v>165</v>
      </c>
      <c r="E38" s="51" t="s">
        <v>166</v>
      </c>
      <c r="F38" s="51" t="s">
        <v>167</v>
      </c>
      <c r="G38" s="101"/>
      <c r="H38" s="42" t="s">
        <v>62</v>
      </c>
      <c r="I38" s="36" t="s">
        <v>63</v>
      </c>
      <c r="J38" s="43" t="s">
        <v>7</v>
      </c>
      <c r="K38" s="43" t="s">
        <v>7</v>
      </c>
      <c r="L38" s="46"/>
      <c r="M38" s="44"/>
      <c r="N38" s="44"/>
      <c r="O38" s="44"/>
      <c r="P38" s="44"/>
      <c r="Q38" s="44"/>
      <c r="R38" s="102">
        <f>IFERROR(Tabel2[[#This Row],[Kans]]*SUM(Tabel2[[#This Row],[Tijd]:[Omgeving]]),0)</f>
        <v>0</v>
      </c>
      <c r="S38" s="103"/>
      <c r="T38" s="104"/>
      <c r="U38" s="104"/>
      <c r="V38" s="105" t="s">
        <v>168</v>
      </c>
      <c r="W38" s="47" t="s">
        <v>169</v>
      </c>
      <c r="X38" s="45" t="s">
        <v>170</v>
      </c>
      <c r="Y38" s="48"/>
      <c r="Z38" s="46">
        <v>2</v>
      </c>
      <c r="AA38" s="44">
        <v>5</v>
      </c>
      <c r="AB38" s="44">
        <v>3</v>
      </c>
      <c r="AC38" s="44">
        <v>3</v>
      </c>
      <c r="AD38" s="44">
        <v>0</v>
      </c>
      <c r="AE38" s="44">
        <v>0</v>
      </c>
      <c r="AF38" s="102">
        <f>IFERROR(Tabel2[[#This Row],[Kans  ]]*SUM(Tabel2[[#This Row],[Tijd  ]:[Omgeving  ]]),0)</f>
        <v>22</v>
      </c>
      <c r="AG38" s="103">
        <f>VLOOKUP(Tabel2[[#This Row],[Kans  ]],KWANTIFICEERTABELLEN!$B$19:$J$26,8,FALSE())</f>
        <v>0.1</v>
      </c>
      <c r="AH38"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17500</v>
      </c>
      <c r="AI38" s="104">
        <f>IFERROR(Tabel2[[#This Row],[Kans   ]]*Tabel2[[#This Row],[Rekenwaarde kosten]],0)</f>
        <v>1750</v>
      </c>
      <c r="AJ38"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4 - 6 weken</v>
      </c>
    </row>
    <row r="39" spans="2:36" s="41" customFormat="1" ht="129" hidden="1" customHeight="1" x14ac:dyDescent="0.3">
      <c r="B39" s="100">
        <v>28</v>
      </c>
      <c r="C39" s="100"/>
      <c r="D39" s="51" t="s">
        <v>415</v>
      </c>
      <c r="E39" s="51"/>
      <c r="F39" s="51"/>
      <c r="G39" s="101"/>
      <c r="H39" s="43" t="s">
        <v>62</v>
      </c>
      <c r="I39" s="36"/>
      <c r="J39" s="36" t="s">
        <v>64</v>
      </c>
      <c r="K39" s="43" t="s">
        <v>8</v>
      </c>
      <c r="L39" s="46"/>
      <c r="M39" s="44"/>
      <c r="N39" s="44"/>
      <c r="O39" s="44"/>
      <c r="P39" s="44"/>
      <c r="Q39" s="44"/>
      <c r="R39" s="102">
        <f>IFERROR(Tabel2[[#This Row],[Kans]]*SUM(Tabel2[[#This Row],[Tijd]:[Omgeving]]),0)</f>
        <v>0</v>
      </c>
      <c r="S39" s="103"/>
      <c r="T39" s="104"/>
      <c r="U39" s="104"/>
      <c r="V39" s="105" t="s">
        <v>136</v>
      </c>
      <c r="W39" s="44" t="s">
        <v>102</v>
      </c>
      <c r="X39" s="45" t="s">
        <v>137</v>
      </c>
      <c r="Y39" s="48"/>
      <c r="Z39" s="46"/>
      <c r="AA39" s="44"/>
      <c r="AB39" s="44"/>
      <c r="AC39" s="44"/>
      <c r="AD39" s="44"/>
      <c r="AE39" s="44"/>
      <c r="AF39" s="102">
        <f>IFERROR(Tabel2[[#This Row],[Kans  ]]*SUM(Tabel2[[#This Row],[Tijd  ]:[Omgeving  ]]),0)</f>
        <v>0</v>
      </c>
      <c r="AG39" s="103">
        <f>VLOOKUP(Tabel2[[#This Row],[Kans  ]],KWANTIFICEERTABELLEN!$B$19:$J$26,8,FALSE())</f>
        <v>0</v>
      </c>
      <c r="AH39"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0</v>
      </c>
      <c r="AI39" s="104">
        <f>IFERROR(Tabel2[[#This Row],[Kans   ]]*Tabel2[[#This Row],[Rekenwaarde kosten]],0)</f>
        <v>0</v>
      </c>
      <c r="AJ39"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Geen impact</v>
      </c>
    </row>
    <row r="40" spans="2:36" s="41" customFormat="1" ht="114.75" hidden="1" customHeight="1" x14ac:dyDescent="0.3">
      <c r="B40" s="100">
        <v>29</v>
      </c>
      <c r="C40" s="100"/>
      <c r="D40" s="51" t="s">
        <v>100</v>
      </c>
      <c r="E40" s="51" t="s">
        <v>60</v>
      </c>
      <c r="F40" s="51" t="s">
        <v>61</v>
      </c>
      <c r="G40" s="101"/>
      <c r="H40" s="42" t="s">
        <v>62</v>
      </c>
      <c r="I40" s="36" t="s">
        <v>63</v>
      </c>
      <c r="J40" s="36" t="s">
        <v>64</v>
      </c>
      <c r="K40" s="43" t="s">
        <v>8</v>
      </c>
      <c r="L40" s="46">
        <v>5</v>
      </c>
      <c r="M40" s="44">
        <v>7</v>
      </c>
      <c r="N40" s="44">
        <v>2</v>
      </c>
      <c r="O40" s="44">
        <v>7</v>
      </c>
      <c r="P40" s="44">
        <v>0</v>
      </c>
      <c r="Q40" s="44">
        <v>4</v>
      </c>
      <c r="R40" s="102">
        <f>IFERROR(Tabel2[[#This Row],[Kans]]*SUM(Tabel2[[#This Row],[Tijd]:[Omgeving]]),0)</f>
        <v>100</v>
      </c>
      <c r="S40" s="103">
        <f>IF(F$2&lt;KWANTIFICEERTABELLEN!B$17,_xlfn.XLOOKUP(Tabel2[[#This Row],[Kans]],KWANTIFICEERTABELLEN!$B$6:$B$13,KWANTIFICEERTABELLEN!I$6:I$13,),
IF(AND(F$2&gt;KWANTIFICEERTABELLEN!B$17,$F$2&lt;KWANTIFICEERTABELLEN!B$30),_xlfn.XLOOKUP(Tabel2[[#This Row],[Kans]],KWANTIFICEERTABELLEN!$B$19:$B$26,KWANTIFICEERTABELLEN!I$19:I$26),
IF(F$2&gt;KWANTIFICEERTABELLEN!B$30,_xlfn.XLOOKUP(Tabel2[[#This Row],[Kans]],KWANTIFICEERTABELLEN!$B$32:$B$39,KWANTIFICEERTABELLEN!I$32:I$39))))</f>
        <v>0.4</v>
      </c>
      <c r="T40" s="104"/>
      <c r="U40" s="104"/>
      <c r="V40" s="105" t="s">
        <v>101</v>
      </c>
      <c r="W40" s="44" t="s">
        <v>102</v>
      </c>
      <c r="X40" s="45" t="s">
        <v>67</v>
      </c>
      <c r="Y40" s="48" t="s">
        <v>103</v>
      </c>
      <c r="Z40" s="46">
        <v>2</v>
      </c>
      <c r="AA40" s="44">
        <v>7</v>
      </c>
      <c r="AB40" s="44">
        <v>2</v>
      </c>
      <c r="AC40" s="44">
        <v>7</v>
      </c>
      <c r="AD40" s="44">
        <v>0</v>
      </c>
      <c r="AE40" s="44">
        <v>4</v>
      </c>
      <c r="AF40" s="102">
        <f>IFERROR(Tabel2[[#This Row],[Kans  ]]*SUM(Tabel2[[#This Row],[Tijd  ]:[Omgeving  ]]),0)</f>
        <v>40</v>
      </c>
      <c r="AG40" s="103">
        <f>IF(F$2&lt;KWANTIFICEERTABELLEN!B$17,_xlfn.XLOOKUP(Tabel2[[#This Row],[Kans  ]],KWANTIFICEERTABELLEN!$B$6:$B$13,KWANTIFICEERTABELLEN!I$6:I$13,),
IF(AND(F$2&gt;KWANTIFICEERTABELLEN!B$17,$F$2&lt;KWANTIFICEERTABELLEN!B$30),_xlfn.XLOOKUP(Tabel2[[#This Row],[Kans  ]],KWANTIFICEERTABELLEN!$B$19:$B$26,KWANTIFICEERTABELLEN!I$19:I$26),
IF(F$2&gt;KWANTIFICEERTABELLEN!B$30,_xlfn.XLOOKUP(Tabel2[[#This Row],[Kans  ]],KWANTIFICEERTABELLEN!$B$32:$B$39,KWANTIFICEERTABELLEN!I$32:I$39))))</f>
        <v>0.1</v>
      </c>
      <c r="AH40" s="106">
        <f>IF(F$2&lt;KWANTIFICEERTABELLEN!B$17,_xlfn.XLOOKUP(Tabel2[[#This Row],[Geld  ]],KWANTIFICEERTABELLEN!$B$6:$B$13,KWANTIFICEERTABELLEN!J$6:J$13,),
IF(AND(F$2&gt;KWANTIFICEERTABELLEN!B$17,$F$2&lt;KWANTIFICEERTABELLEN!B$30),_xlfn.XLOOKUP(Tabel2[[#This Row],[Geld  ]],KWANTIFICEERTABELLEN!$B$19:$B$26,KWANTIFICEERTABELLEN!J$19:J$26),
IF(F$2&gt;KWANTIFICEERTABELLEN!B$30,_xlfn.XLOOKUP(Tabel2[[#This Row],[Geld  ]],KWANTIFICEERTABELLEN!$B$32:$B$39,KWANTIFICEERTABELLEN!J$32:J$39))))</f>
        <v>7500</v>
      </c>
      <c r="AI40" s="104">
        <f>IFERROR(Tabel2[[#This Row],[Kans   ]]*Tabel2[[#This Row],[Rekenwaarde kosten]],0)</f>
        <v>750</v>
      </c>
      <c r="AJ40"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&gt; 2 maanden</v>
      </c>
    </row>
    <row r="41" spans="2:36" s="41" customFormat="1" ht="127.5" hidden="1" customHeight="1" x14ac:dyDescent="0.3">
      <c r="B41" s="100">
        <v>30</v>
      </c>
      <c r="C41" s="100"/>
      <c r="D41" s="51" t="s">
        <v>133</v>
      </c>
      <c r="E41" s="51" t="s">
        <v>134</v>
      </c>
      <c r="F41" s="51" t="s">
        <v>135</v>
      </c>
      <c r="G41" s="101"/>
      <c r="H41" s="42" t="s">
        <v>62</v>
      </c>
      <c r="I41" s="36" t="s">
        <v>63</v>
      </c>
      <c r="J41" s="36" t="s">
        <v>64</v>
      </c>
      <c r="K41" s="43" t="s">
        <v>7</v>
      </c>
      <c r="L41" s="46"/>
      <c r="M41" s="44"/>
      <c r="N41" s="44"/>
      <c r="O41" s="44"/>
      <c r="P41" s="44"/>
      <c r="Q41" s="44"/>
      <c r="R41" s="102">
        <f>IFERROR(Tabel2[[#This Row],[Kans]]*SUM(Tabel2[[#This Row],[Tijd]:[Omgeving]]),0)</f>
        <v>0</v>
      </c>
      <c r="S41" s="103"/>
      <c r="T41" s="104"/>
      <c r="U41" s="104"/>
      <c r="V41" s="105" t="s">
        <v>136</v>
      </c>
      <c r="W41" s="44" t="s">
        <v>102</v>
      </c>
      <c r="X41" s="45" t="s">
        <v>137</v>
      </c>
      <c r="Y41" s="48"/>
      <c r="Z41" s="46">
        <v>2</v>
      </c>
      <c r="AA41" s="44">
        <v>6</v>
      </c>
      <c r="AB41" s="44">
        <v>3</v>
      </c>
      <c r="AC41" s="44">
        <v>1</v>
      </c>
      <c r="AD41" s="44">
        <v>0</v>
      </c>
      <c r="AE41" s="44">
        <v>4</v>
      </c>
      <c r="AF41" s="102">
        <f>IFERROR(Tabel2[[#This Row],[Kans  ]]*SUM(Tabel2[[#This Row],[Tijd  ]:[Omgeving  ]]),0)</f>
        <v>28</v>
      </c>
      <c r="AG41" s="103">
        <f>VLOOKUP(Tabel2[[#This Row],[Kans  ]],KWANTIFICEERTABELLEN!$B$19:$J$26,8,FALSE())</f>
        <v>0.1</v>
      </c>
      <c r="AH41"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17500</v>
      </c>
      <c r="AI41" s="104">
        <f>IFERROR(Tabel2[[#This Row],[Kans   ]]*Tabel2[[#This Row],[Rekenwaarde kosten]],0)</f>
        <v>1750</v>
      </c>
      <c r="AJ41"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6 - 8 weken</v>
      </c>
    </row>
    <row r="42" spans="2:36" s="41" customFormat="1" ht="50.25" hidden="1" customHeight="1" x14ac:dyDescent="0.3">
      <c r="B42" s="100">
        <v>31</v>
      </c>
      <c r="C42" s="100"/>
      <c r="D42" s="51" t="s">
        <v>416</v>
      </c>
      <c r="E42" s="51"/>
      <c r="F42" s="51"/>
      <c r="G42" s="101"/>
      <c r="H42" s="43" t="s">
        <v>62</v>
      </c>
      <c r="I42" s="36"/>
      <c r="J42" s="36" t="s">
        <v>64</v>
      </c>
      <c r="K42" s="43" t="s">
        <v>8</v>
      </c>
      <c r="L42" s="46"/>
      <c r="M42" s="44"/>
      <c r="N42" s="44"/>
      <c r="O42" s="44"/>
      <c r="P42" s="44"/>
      <c r="Q42" s="44"/>
      <c r="R42" s="102">
        <f>IFERROR(Tabel2[[#This Row],[Kans]]*SUM(Tabel2[[#This Row],[Tijd]:[Omgeving]]),0)</f>
        <v>0</v>
      </c>
      <c r="S42" s="103"/>
      <c r="T42" s="104"/>
      <c r="U42" s="104"/>
      <c r="V42" s="105" t="s">
        <v>417</v>
      </c>
      <c r="W42" s="44" t="s">
        <v>72</v>
      </c>
      <c r="X42" s="45" t="s">
        <v>137</v>
      </c>
      <c r="Y42" s="48"/>
      <c r="Z42" s="46"/>
      <c r="AA42" s="44"/>
      <c r="AB42" s="44"/>
      <c r="AC42" s="44"/>
      <c r="AD42" s="44"/>
      <c r="AE42" s="44"/>
      <c r="AF42" s="102">
        <f>IFERROR(Tabel2[[#This Row],[Kans  ]]*SUM(Tabel2[[#This Row],[Tijd  ]:[Omgeving  ]]),0)</f>
        <v>0</v>
      </c>
      <c r="AG42" s="103">
        <f>VLOOKUP(Tabel2[[#This Row],[Kans  ]],KWANTIFICEERTABELLEN!$B$19:$J$26,8,FALSE())</f>
        <v>0</v>
      </c>
      <c r="AH42"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0</v>
      </c>
      <c r="AI42" s="104">
        <f>IFERROR(Tabel2[[#This Row],[Kans   ]]*Tabel2[[#This Row],[Rekenwaarde kosten]],0)</f>
        <v>0</v>
      </c>
      <c r="AJ42"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Geen impact</v>
      </c>
    </row>
    <row r="43" spans="2:36" s="41" customFormat="1" ht="157.5" hidden="1" customHeight="1" x14ac:dyDescent="0.3">
      <c r="B43" s="100">
        <v>32</v>
      </c>
      <c r="C43" s="100"/>
      <c r="D43" s="51" t="s">
        <v>418</v>
      </c>
      <c r="E43" s="51"/>
      <c r="F43" s="51"/>
      <c r="G43" s="101"/>
      <c r="H43" s="43" t="s">
        <v>62</v>
      </c>
      <c r="I43" s="36"/>
      <c r="J43" s="36" t="s">
        <v>64</v>
      </c>
      <c r="K43" s="43" t="s">
        <v>8</v>
      </c>
      <c r="L43" s="46"/>
      <c r="M43" s="44"/>
      <c r="N43" s="44"/>
      <c r="O43" s="44"/>
      <c r="P43" s="44"/>
      <c r="Q43" s="44"/>
      <c r="R43" s="102">
        <f>IFERROR(Tabel2[[#This Row],[Kans]]*SUM(Tabel2[[#This Row],[Tijd]:[Omgeving]]),0)</f>
        <v>0</v>
      </c>
      <c r="S43" s="103"/>
      <c r="T43" s="104"/>
      <c r="U43" s="104"/>
      <c r="V43" s="105" t="s">
        <v>419</v>
      </c>
      <c r="W43" s="44" t="s">
        <v>66</v>
      </c>
      <c r="X43" s="45" t="s">
        <v>420</v>
      </c>
      <c r="Y43" s="48"/>
      <c r="Z43" s="46"/>
      <c r="AA43" s="44"/>
      <c r="AB43" s="44"/>
      <c r="AC43" s="44"/>
      <c r="AD43" s="44"/>
      <c r="AE43" s="44"/>
      <c r="AF43" s="102">
        <f>IFERROR(Tabel2[[#This Row],[Kans  ]]*SUM(Tabel2[[#This Row],[Tijd  ]:[Omgeving  ]]),0)</f>
        <v>0</v>
      </c>
      <c r="AG43" s="103">
        <f>VLOOKUP(Tabel2[[#This Row],[Kans  ]],KWANTIFICEERTABELLEN!$B$19:$J$26,8,FALSE())</f>
        <v>0</v>
      </c>
      <c r="AH43"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0</v>
      </c>
      <c r="AI43" s="104">
        <f>IFERROR(Tabel2[[#This Row],[Kans   ]]*Tabel2[[#This Row],[Rekenwaarde kosten]],0)</f>
        <v>0</v>
      </c>
      <c r="AJ43"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Geen impact</v>
      </c>
    </row>
    <row r="44" spans="2:36" s="41" customFormat="1" ht="120" hidden="1" customHeight="1" x14ac:dyDescent="0.3">
      <c r="B44" s="100">
        <v>33</v>
      </c>
      <c r="C44" s="100"/>
      <c r="D44" s="51" t="s">
        <v>421</v>
      </c>
      <c r="E44" s="51"/>
      <c r="F44" s="51"/>
      <c r="G44" s="101"/>
      <c r="H44" s="43" t="s">
        <v>62</v>
      </c>
      <c r="I44" s="36"/>
      <c r="J44" s="36" t="s">
        <v>64</v>
      </c>
      <c r="K44" s="43" t="s">
        <v>8</v>
      </c>
      <c r="L44" s="46"/>
      <c r="M44" s="44"/>
      <c r="N44" s="44"/>
      <c r="O44" s="44"/>
      <c r="P44" s="44"/>
      <c r="Q44" s="44"/>
      <c r="R44" s="102">
        <f>IFERROR(Tabel2[[#This Row],[Kans]]*SUM(Tabel2[[#This Row],[Tijd]:[Omgeving]]),0)</f>
        <v>0</v>
      </c>
      <c r="S44" s="103"/>
      <c r="T44" s="104"/>
      <c r="U44" s="104"/>
      <c r="V44" s="105" t="s">
        <v>422</v>
      </c>
      <c r="W44" s="44" t="s">
        <v>66</v>
      </c>
      <c r="X44" s="45" t="s">
        <v>423</v>
      </c>
      <c r="Y44" s="48"/>
      <c r="Z44" s="46"/>
      <c r="AA44" s="44"/>
      <c r="AB44" s="44"/>
      <c r="AC44" s="44"/>
      <c r="AD44" s="44"/>
      <c r="AE44" s="44"/>
      <c r="AF44" s="102">
        <f>IFERROR(Tabel2[[#This Row],[Kans  ]]*SUM(Tabel2[[#This Row],[Tijd  ]:[Omgeving  ]]),0)</f>
        <v>0</v>
      </c>
      <c r="AG44" s="103">
        <f>VLOOKUP(Tabel2[[#This Row],[Kans  ]],KWANTIFICEERTABELLEN!$B$19:$J$26,8,FALSE())</f>
        <v>0</v>
      </c>
      <c r="AH44"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0</v>
      </c>
      <c r="AI44" s="104">
        <f>IFERROR(Tabel2[[#This Row],[Kans   ]]*Tabel2[[#This Row],[Rekenwaarde kosten]],0)</f>
        <v>0</v>
      </c>
      <c r="AJ44"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Geen impact</v>
      </c>
    </row>
    <row r="45" spans="2:36" s="41" customFormat="1" ht="131.25" hidden="1" customHeight="1" x14ac:dyDescent="0.3">
      <c r="B45" s="100">
        <v>34</v>
      </c>
      <c r="C45" s="100"/>
      <c r="D45" s="51" t="s">
        <v>424</v>
      </c>
      <c r="E45" s="51"/>
      <c r="F45" s="51"/>
      <c r="G45" s="101"/>
      <c r="H45" s="43" t="s">
        <v>62</v>
      </c>
      <c r="I45" s="36"/>
      <c r="J45" s="36" t="s">
        <v>64</v>
      </c>
      <c r="K45" s="43" t="s">
        <v>8</v>
      </c>
      <c r="L45" s="46"/>
      <c r="M45" s="44"/>
      <c r="N45" s="44"/>
      <c r="O45" s="44"/>
      <c r="P45" s="44"/>
      <c r="Q45" s="44"/>
      <c r="R45" s="102">
        <f>IFERROR(Tabel2[[#This Row],[Kans]]*SUM(Tabel2[[#This Row],[Tijd]:[Omgeving]]),0)</f>
        <v>0</v>
      </c>
      <c r="S45" s="103"/>
      <c r="T45" s="104"/>
      <c r="U45" s="104"/>
      <c r="V45" s="105" t="s">
        <v>136</v>
      </c>
      <c r="W45" s="44" t="s">
        <v>102</v>
      </c>
      <c r="X45" s="45" t="s">
        <v>137</v>
      </c>
      <c r="Y45" s="48"/>
      <c r="Z45" s="46"/>
      <c r="AA45" s="44"/>
      <c r="AB45" s="44"/>
      <c r="AC45" s="44"/>
      <c r="AD45" s="44"/>
      <c r="AE45" s="44"/>
      <c r="AF45" s="102">
        <f>IFERROR(Tabel2[[#This Row],[Kans  ]]*SUM(Tabel2[[#This Row],[Tijd  ]:[Omgeving  ]]),0)</f>
        <v>0</v>
      </c>
      <c r="AG45" s="103">
        <f>VLOOKUP(Tabel2[[#This Row],[Kans  ]],KWANTIFICEERTABELLEN!$B$19:$J$26,8,FALSE())</f>
        <v>0</v>
      </c>
      <c r="AH45"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0</v>
      </c>
      <c r="AI45" s="104">
        <f>IFERROR(Tabel2[[#This Row],[Kans   ]]*Tabel2[[#This Row],[Rekenwaarde kosten]],0)</f>
        <v>0</v>
      </c>
      <c r="AJ45"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Geen impact</v>
      </c>
    </row>
    <row r="46" spans="2:36" s="41" customFormat="1" ht="127.5" hidden="1" customHeight="1" x14ac:dyDescent="0.3">
      <c r="B46" s="100">
        <v>35</v>
      </c>
      <c r="C46" s="100"/>
      <c r="D46" s="51" t="s">
        <v>59</v>
      </c>
      <c r="E46" s="51" t="s">
        <v>60</v>
      </c>
      <c r="F46" s="51" t="s">
        <v>61</v>
      </c>
      <c r="G46" s="101"/>
      <c r="H46" s="42" t="s">
        <v>62</v>
      </c>
      <c r="I46" s="36" t="s">
        <v>63</v>
      </c>
      <c r="J46" s="36" t="s">
        <v>64</v>
      </c>
      <c r="K46" s="43" t="s">
        <v>8</v>
      </c>
      <c r="L46" s="46">
        <v>5</v>
      </c>
      <c r="M46" s="44">
        <v>7</v>
      </c>
      <c r="N46" s="44">
        <v>2</v>
      </c>
      <c r="O46" s="44">
        <v>7</v>
      </c>
      <c r="P46" s="44">
        <v>0</v>
      </c>
      <c r="Q46" s="44">
        <v>4</v>
      </c>
      <c r="R46" s="102">
        <f>IFERROR(Tabel2[[#This Row],[Kans]]*SUM(Tabel2[[#This Row],[Tijd]:[Omgeving]]),0)</f>
        <v>100</v>
      </c>
      <c r="S46" s="103">
        <f>IF(F$2&lt;KWANTIFICEERTABELLEN!B$17,_xlfn.XLOOKUP(Tabel2[[#This Row],[Kans]],KWANTIFICEERTABELLEN!$B$6:$B$13,KWANTIFICEERTABELLEN!I$6:I$13,),
IF(AND(F$2&gt;KWANTIFICEERTABELLEN!B$17,$F$2&lt;KWANTIFICEERTABELLEN!B$30),_xlfn.XLOOKUP(Tabel2[[#This Row],[Kans]],KWANTIFICEERTABELLEN!$B$19:$B$26,KWANTIFICEERTABELLEN!I$19:I$26),
IF(F$2&gt;KWANTIFICEERTABELLEN!B$30,_xlfn.XLOOKUP(Tabel2[[#This Row],[Kans]],KWANTIFICEERTABELLEN!$B$32:$B$39,KWANTIFICEERTABELLEN!I$32:I$39))))</f>
        <v>0.4</v>
      </c>
      <c r="T46" s="104"/>
      <c r="U46" s="104"/>
      <c r="V46" s="105" t="s">
        <v>65</v>
      </c>
      <c r="W46" s="44" t="s">
        <v>66</v>
      </c>
      <c r="X46" s="45" t="s">
        <v>67</v>
      </c>
      <c r="Y46" s="48"/>
      <c r="Z46" s="46">
        <v>2</v>
      </c>
      <c r="AA46" s="44">
        <v>7</v>
      </c>
      <c r="AB46" s="44">
        <v>2</v>
      </c>
      <c r="AC46" s="44">
        <v>7</v>
      </c>
      <c r="AD46" s="44">
        <v>0</v>
      </c>
      <c r="AE46" s="44">
        <v>4</v>
      </c>
      <c r="AF46" s="102">
        <f>IFERROR(Tabel2[[#This Row],[Kans  ]]*SUM(Tabel2[[#This Row],[Tijd  ]:[Omgeving  ]]),0)</f>
        <v>40</v>
      </c>
      <c r="AG46" s="103">
        <f>IF(F$2&lt;KWANTIFICEERTABELLEN!B$17,_xlfn.XLOOKUP(Tabel2[[#This Row],[Kans  ]],KWANTIFICEERTABELLEN!$B$6:$B$13,KWANTIFICEERTABELLEN!I$6:I$13,),
IF(AND(F$2&gt;KWANTIFICEERTABELLEN!B$17,$F$2&lt;KWANTIFICEERTABELLEN!B$30),_xlfn.XLOOKUP(Tabel2[[#This Row],[Kans  ]],KWANTIFICEERTABELLEN!$B$19:$B$26,KWANTIFICEERTABELLEN!I$19:I$26),
IF(F$2&gt;KWANTIFICEERTABELLEN!B$30,_xlfn.XLOOKUP(Tabel2[[#This Row],[Kans  ]],KWANTIFICEERTABELLEN!$B$32:$B$39,KWANTIFICEERTABELLEN!I$32:I$39))))</f>
        <v>0.1</v>
      </c>
      <c r="AH46" s="106">
        <f>IF(F$2&lt;KWANTIFICEERTABELLEN!B$17,_xlfn.XLOOKUP(Tabel2[[#This Row],[Geld  ]],KWANTIFICEERTABELLEN!$B$6:$B$13,KWANTIFICEERTABELLEN!J$6:J$13,),
IF(AND(F$2&gt;KWANTIFICEERTABELLEN!B$17,$F$2&lt;KWANTIFICEERTABELLEN!B$30),_xlfn.XLOOKUP(Tabel2[[#This Row],[Geld  ]],KWANTIFICEERTABELLEN!$B$19:$B$26,KWANTIFICEERTABELLEN!J$19:J$26),
IF(F$2&gt;KWANTIFICEERTABELLEN!B$30,_xlfn.XLOOKUP(Tabel2[[#This Row],[Geld  ]],KWANTIFICEERTABELLEN!$B$32:$B$39,KWANTIFICEERTABELLEN!J$32:J$39))))</f>
        <v>7500</v>
      </c>
      <c r="AI46" s="104">
        <f>IFERROR(Tabel2[[#This Row],[Kans   ]]*Tabel2[[#This Row],[Rekenwaarde kosten]],0)</f>
        <v>750</v>
      </c>
      <c r="AJ46"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&gt; 2 maanden</v>
      </c>
    </row>
    <row r="47" spans="2:36" s="41" customFormat="1" ht="114.75" hidden="1" customHeight="1" x14ac:dyDescent="0.3">
      <c r="B47" s="100">
        <v>36</v>
      </c>
      <c r="C47" s="100"/>
      <c r="D47" s="51" t="s">
        <v>138</v>
      </c>
      <c r="E47" s="51" t="s">
        <v>134</v>
      </c>
      <c r="F47" s="51" t="s">
        <v>139</v>
      </c>
      <c r="G47" s="101"/>
      <c r="H47" s="42" t="s">
        <v>62</v>
      </c>
      <c r="I47" s="36" t="s">
        <v>63</v>
      </c>
      <c r="J47" s="36" t="s">
        <v>64</v>
      </c>
      <c r="K47" s="43" t="s">
        <v>8</v>
      </c>
      <c r="L47" s="46"/>
      <c r="M47" s="44"/>
      <c r="N47" s="44"/>
      <c r="O47" s="44"/>
      <c r="P47" s="44"/>
      <c r="Q47" s="44"/>
      <c r="R47" s="102">
        <f>IFERROR(Tabel2[[#This Row],[Kans]]*SUM(Tabel2[[#This Row],[Tijd]:[Omgeving]]),0)</f>
        <v>0</v>
      </c>
      <c r="S47" s="103"/>
      <c r="T47" s="104"/>
      <c r="U47" s="104"/>
      <c r="V47" s="105" t="s">
        <v>136</v>
      </c>
      <c r="W47" s="44" t="s">
        <v>102</v>
      </c>
      <c r="X47" s="45" t="s">
        <v>140</v>
      </c>
      <c r="Y47" s="48"/>
      <c r="Z47" s="46">
        <v>2</v>
      </c>
      <c r="AA47" s="44">
        <v>6</v>
      </c>
      <c r="AB47" s="44">
        <v>3</v>
      </c>
      <c r="AC47" s="44">
        <v>1</v>
      </c>
      <c r="AD47" s="44">
        <v>0</v>
      </c>
      <c r="AE47" s="44">
        <v>4</v>
      </c>
      <c r="AF47" s="102">
        <f>IFERROR(Tabel2[[#This Row],[Kans  ]]*SUM(Tabel2[[#This Row],[Tijd  ]:[Omgeving  ]]),0)</f>
        <v>28</v>
      </c>
      <c r="AG47" s="103">
        <f>VLOOKUP(Tabel2[[#This Row],[Kans  ]],KWANTIFICEERTABELLEN!$B$19:$J$26,8,FALSE())</f>
        <v>0.1</v>
      </c>
      <c r="AH47"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17500</v>
      </c>
      <c r="AI47" s="104">
        <f>IFERROR(Tabel2[[#This Row],[Kans   ]]*Tabel2[[#This Row],[Rekenwaarde kosten]],0)</f>
        <v>1750</v>
      </c>
      <c r="AJ47"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6 - 8 weken</v>
      </c>
    </row>
    <row r="48" spans="2:36" s="41" customFormat="1" ht="50.25" hidden="1" customHeight="1" x14ac:dyDescent="0.3">
      <c r="B48" s="100">
        <v>37</v>
      </c>
      <c r="C48" s="100"/>
      <c r="D48" s="51" t="s">
        <v>425</v>
      </c>
      <c r="E48" s="51"/>
      <c r="F48" s="51"/>
      <c r="G48" s="101"/>
      <c r="H48" s="43" t="s">
        <v>62</v>
      </c>
      <c r="I48" s="36"/>
      <c r="J48" s="36" t="s">
        <v>64</v>
      </c>
      <c r="K48" s="43" t="s">
        <v>8</v>
      </c>
      <c r="L48" s="46"/>
      <c r="M48" s="44"/>
      <c r="N48" s="44"/>
      <c r="O48" s="44"/>
      <c r="P48" s="44"/>
      <c r="Q48" s="44"/>
      <c r="R48" s="102">
        <f>IFERROR(Tabel2[[#This Row],[Kans]]*SUM(Tabel2[[#This Row],[Tijd]:[Omgeving]]),0)</f>
        <v>0</v>
      </c>
      <c r="S48" s="103"/>
      <c r="T48" s="104"/>
      <c r="U48" s="104"/>
      <c r="V48" s="105" t="s">
        <v>136</v>
      </c>
      <c r="W48" s="44" t="s">
        <v>102</v>
      </c>
      <c r="X48" s="45" t="s">
        <v>137</v>
      </c>
      <c r="Y48" s="48"/>
      <c r="Z48" s="46"/>
      <c r="AA48" s="44"/>
      <c r="AB48" s="44"/>
      <c r="AC48" s="44"/>
      <c r="AD48" s="44"/>
      <c r="AE48" s="44"/>
      <c r="AF48" s="102">
        <f>IFERROR(Tabel2[[#This Row],[Kans  ]]*SUM(Tabel2[[#This Row],[Tijd  ]:[Omgeving  ]]),0)</f>
        <v>0</v>
      </c>
      <c r="AG48" s="103">
        <f>VLOOKUP(Tabel2[[#This Row],[Kans  ]],KWANTIFICEERTABELLEN!$B$19:$J$26,8,FALSE())</f>
        <v>0</v>
      </c>
      <c r="AH48"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0</v>
      </c>
      <c r="AI48" s="104">
        <f>IFERROR(Tabel2[[#This Row],[Kans   ]]*Tabel2[[#This Row],[Rekenwaarde kosten]],0)</f>
        <v>0</v>
      </c>
      <c r="AJ48"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Geen impact</v>
      </c>
    </row>
    <row r="49" spans="2:36" s="41" customFormat="1" ht="102" hidden="1" customHeight="1" x14ac:dyDescent="0.3">
      <c r="B49" s="100">
        <v>38</v>
      </c>
      <c r="C49" s="100"/>
      <c r="D49" s="51" t="s">
        <v>141</v>
      </c>
      <c r="E49" s="51" t="s">
        <v>142</v>
      </c>
      <c r="F49" s="51" t="s">
        <v>143</v>
      </c>
      <c r="G49" s="101"/>
      <c r="H49" s="42" t="s">
        <v>62</v>
      </c>
      <c r="I49" s="36" t="s">
        <v>63</v>
      </c>
      <c r="J49" s="36" t="s">
        <v>64</v>
      </c>
      <c r="K49" s="43" t="s">
        <v>8</v>
      </c>
      <c r="L49" s="46"/>
      <c r="M49" s="44"/>
      <c r="N49" s="44"/>
      <c r="O49" s="44"/>
      <c r="P49" s="44"/>
      <c r="Q49" s="44"/>
      <c r="R49" s="102">
        <f>IFERROR(Tabel2[[#This Row],[Kans]]*SUM(Tabel2[[#This Row],[Tijd]:[Omgeving]]),0)</f>
        <v>0</v>
      </c>
      <c r="S49" s="103"/>
      <c r="T49" s="104"/>
      <c r="U49" s="104"/>
      <c r="V49" s="105" t="s">
        <v>144</v>
      </c>
      <c r="W49" s="44" t="s">
        <v>102</v>
      </c>
      <c r="X49" s="45" t="s">
        <v>67</v>
      </c>
      <c r="Y49" s="48"/>
      <c r="Z49" s="46">
        <v>2</v>
      </c>
      <c r="AA49" s="44">
        <v>6</v>
      </c>
      <c r="AB49" s="44">
        <v>3</v>
      </c>
      <c r="AC49" s="44">
        <v>1</v>
      </c>
      <c r="AD49" s="44">
        <v>0</v>
      </c>
      <c r="AE49" s="44">
        <v>4</v>
      </c>
      <c r="AF49" s="102">
        <f>IFERROR(Tabel2[[#This Row],[Kans  ]]*SUM(Tabel2[[#This Row],[Tijd  ]:[Omgeving  ]]),0)</f>
        <v>28</v>
      </c>
      <c r="AG49" s="103">
        <f>VLOOKUP(Tabel2[[#This Row],[Kans  ]],KWANTIFICEERTABELLEN!$B$19:$J$26,8,FALSE())</f>
        <v>0.1</v>
      </c>
      <c r="AH49"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17500</v>
      </c>
      <c r="AI49" s="104">
        <f>IFERROR(Tabel2[[#This Row],[Kans   ]]*Tabel2[[#This Row],[Rekenwaarde kosten]],0)</f>
        <v>1750</v>
      </c>
      <c r="AJ49"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6 - 8 weken</v>
      </c>
    </row>
    <row r="50" spans="2:36" s="41" customFormat="1" ht="114.75" hidden="1" customHeight="1" x14ac:dyDescent="0.3">
      <c r="B50" s="100">
        <v>39</v>
      </c>
      <c r="C50" s="100"/>
      <c r="D50" s="51" t="s">
        <v>145</v>
      </c>
      <c r="E50" s="51" t="s">
        <v>146</v>
      </c>
      <c r="F50" s="51" t="s">
        <v>147</v>
      </c>
      <c r="G50" s="101"/>
      <c r="H50" s="42" t="s">
        <v>62</v>
      </c>
      <c r="I50" s="36" t="s">
        <v>63</v>
      </c>
      <c r="J50" s="36" t="s">
        <v>64</v>
      </c>
      <c r="K50" s="43" t="s">
        <v>8</v>
      </c>
      <c r="L50" s="46"/>
      <c r="M50" s="44"/>
      <c r="N50" s="44"/>
      <c r="O50" s="44"/>
      <c r="P50" s="44"/>
      <c r="Q50" s="44"/>
      <c r="R50" s="102">
        <f>IFERROR(Tabel2[[#This Row],[Kans]]*SUM(Tabel2[[#This Row],[Tijd]:[Omgeving]]),0)</f>
        <v>0</v>
      </c>
      <c r="S50" s="103"/>
      <c r="T50" s="104"/>
      <c r="U50" s="104"/>
      <c r="V50" s="105" t="s">
        <v>136</v>
      </c>
      <c r="W50" s="44" t="s">
        <v>102</v>
      </c>
      <c r="X50" s="45" t="s">
        <v>140</v>
      </c>
      <c r="Y50" s="48"/>
      <c r="Z50" s="46">
        <v>2</v>
      </c>
      <c r="AA50" s="44">
        <v>6</v>
      </c>
      <c r="AB50" s="44">
        <v>3</v>
      </c>
      <c r="AC50" s="44">
        <v>1</v>
      </c>
      <c r="AD50" s="44">
        <v>0</v>
      </c>
      <c r="AE50" s="44">
        <v>4</v>
      </c>
      <c r="AF50" s="102">
        <f>IFERROR(Tabel2[[#This Row],[Kans  ]]*SUM(Tabel2[[#This Row],[Tijd  ]:[Omgeving  ]]),0)</f>
        <v>28</v>
      </c>
      <c r="AG50" s="103">
        <f>VLOOKUP(Tabel2[[#This Row],[Kans  ]],KWANTIFICEERTABELLEN!$B$19:$J$26,8,FALSE())</f>
        <v>0.1</v>
      </c>
      <c r="AH50"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17500</v>
      </c>
      <c r="AI50" s="104">
        <f>IFERROR(Tabel2[[#This Row],[Kans   ]]*Tabel2[[#This Row],[Rekenwaarde kosten]],0)</f>
        <v>1750</v>
      </c>
      <c r="AJ50"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6 - 8 weken</v>
      </c>
    </row>
    <row r="51" spans="2:36" s="41" customFormat="1" ht="50.25" hidden="1" customHeight="1" x14ac:dyDescent="0.3">
      <c r="B51" s="100">
        <v>40</v>
      </c>
      <c r="C51" s="100"/>
      <c r="D51" s="51" t="s">
        <v>426</v>
      </c>
      <c r="E51" s="51"/>
      <c r="F51" s="51"/>
      <c r="G51" s="101"/>
      <c r="H51" s="43" t="s">
        <v>62</v>
      </c>
      <c r="I51" s="36"/>
      <c r="J51" s="36" t="s">
        <v>64</v>
      </c>
      <c r="K51" s="43" t="s">
        <v>8</v>
      </c>
      <c r="L51" s="46"/>
      <c r="M51" s="44"/>
      <c r="N51" s="44"/>
      <c r="O51" s="44"/>
      <c r="P51" s="44"/>
      <c r="Q51" s="44"/>
      <c r="R51" s="102">
        <f>IFERROR(Tabel2[[#This Row],[Kans]]*SUM(Tabel2[[#This Row],[Tijd]:[Omgeving]]),0)</f>
        <v>0</v>
      </c>
      <c r="S51" s="103"/>
      <c r="T51" s="104"/>
      <c r="U51" s="104"/>
      <c r="V51" s="105" t="s">
        <v>136</v>
      </c>
      <c r="W51" s="44" t="s">
        <v>102</v>
      </c>
      <c r="X51" s="45" t="s">
        <v>137</v>
      </c>
      <c r="Y51" s="48"/>
      <c r="Z51" s="46"/>
      <c r="AA51" s="44"/>
      <c r="AB51" s="44"/>
      <c r="AC51" s="44"/>
      <c r="AD51" s="44"/>
      <c r="AE51" s="44"/>
      <c r="AF51" s="102">
        <f>IFERROR(Tabel2[[#This Row],[Kans  ]]*SUM(Tabel2[[#This Row],[Tijd  ]:[Omgeving  ]]),0)</f>
        <v>0</v>
      </c>
      <c r="AG51" s="103">
        <f>VLOOKUP(Tabel2[[#This Row],[Kans  ]],KWANTIFICEERTABELLEN!$B$19:$J$26,8,FALSE())</f>
        <v>0</v>
      </c>
      <c r="AH51"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0</v>
      </c>
      <c r="AI51" s="104">
        <f>IFERROR(Tabel2[[#This Row],[Kans   ]]*Tabel2[[#This Row],[Rekenwaarde kosten]],0)</f>
        <v>0</v>
      </c>
      <c r="AJ51"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Geen impact</v>
      </c>
    </row>
    <row r="52" spans="2:36" s="41" customFormat="1" ht="114.75" hidden="1" customHeight="1" x14ac:dyDescent="0.3">
      <c r="B52" s="100">
        <v>41</v>
      </c>
      <c r="C52" s="100"/>
      <c r="D52" s="51" t="s">
        <v>148</v>
      </c>
      <c r="E52" s="51" t="s">
        <v>149</v>
      </c>
      <c r="F52" s="51" t="s">
        <v>150</v>
      </c>
      <c r="G52" s="101"/>
      <c r="H52" s="42" t="s">
        <v>62</v>
      </c>
      <c r="I52" s="36" t="s">
        <v>63</v>
      </c>
      <c r="J52" s="36" t="s">
        <v>64</v>
      </c>
      <c r="K52" s="43" t="s">
        <v>7</v>
      </c>
      <c r="L52" s="46"/>
      <c r="M52" s="44"/>
      <c r="N52" s="44"/>
      <c r="O52" s="44"/>
      <c r="P52" s="44"/>
      <c r="Q52" s="44"/>
      <c r="R52" s="102">
        <f>IFERROR(Tabel2[[#This Row],[Kans]]*SUM(Tabel2[[#This Row],[Tijd]:[Omgeving]]),0)</f>
        <v>0</v>
      </c>
      <c r="S52" s="103"/>
      <c r="T52" s="104"/>
      <c r="U52" s="104"/>
      <c r="V52" s="105" t="s">
        <v>136</v>
      </c>
      <c r="W52" s="44" t="s">
        <v>102</v>
      </c>
      <c r="X52" s="45" t="s">
        <v>137</v>
      </c>
      <c r="Y52" s="48"/>
      <c r="Z52" s="46">
        <v>2</v>
      </c>
      <c r="AA52" s="44">
        <v>6</v>
      </c>
      <c r="AB52" s="44">
        <v>3</v>
      </c>
      <c r="AC52" s="44">
        <v>1</v>
      </c>
      <c r="AD52" s="44">
        <v>0</v>
      </c>
      <c r="AE52" s="44">
        <v>4</v>
      </c>
      <c r="AF52" s="102">
        <f>IFERROR(Tabel2[[#This Row],[Kans  ]]*SUM(Tabel2[[#This Row],[Tijd  ]:[Omgeving  ]]),0)</f>
        <v>28</v>
      </c>
      <c r="AG52" s="103">
        <f>VLOOKUP(Tabel2[[#This Row],[Kans  ]],KWANTIFICEERTABELLEN!$B$19:$J$26,8,FALSE())</f>
        <v>0.1</v>
      </c>
      <c r="AH52"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17500</v>
      </c>
      <c r="AI52" s="104">
        <f>IFERROR(Tabel2[[#This Row],[Kans   ]]*Tabel2[[#This Row],[Rekenwaarde kosten]],0)</f>
        <v>1750</v>
      </c>
      <c r="AJ52"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6 - 8 weken</v>
      </c>
    </row>
    <row r="53" spans="2:36" s="41" customFormat="1" ht="127.5" hidden="1" customHeight="1" x14ac:dyDescent="0.3">
      <c r="B53" s="100">
        <v>42</v>
      </c>
      <c r="C53" s="100"/>
      <c r="D53" s="51" t="s">
        <v>151</v>
      </c>
      <c r="E53" s="51" t="s">
        <v>152</v>
      </c>
      <c r="F53" s="51" t="s">
        <v>153</v>
      </c>
      <c r="G53" s="101"/>
      <c r="H53" s="42" t="s">
        <v>62</v>
      </c>
      <c r="I53" s="36" t="s">
        <v>63</v>
      </c>
      <c r="J53" s="36" t="s">
        <v>64</v>
      </c>
      <c r="K53" s="43" t="s">
        <v>7</v>
      </c>
      <c r="L53" s="46"/>
      <c r="M53" s="44"/>
      <c r="N53" s="44"/>
      <c r="O53" s="44"/>
      <c r="P53" s="44"/>
      <c r="Q53" s="44"/>
      <c r="R53" s="102">
        <f>IFERROR(Tabel2[[#This Row],[Kans]]*SUM(Tabel2[[#This Row],[Tijd]:[Omgeving]]),0)</f>
        <v>0</v>
      </c>
      <c r="S53" s="103"/>
      <c r="T53" s="104"/>
      <c r="U53" s="104"/>
      <c r="V53" s="105" t="s">
        <v>154</v>
      </c>
      <c r="W53" s="47" t="s">
        <v>155</v>
      </c>
      <c r="X53" s="45" t="s">
        <v>156</v>
      </c>
      <c r="Y53" s="48"/>
      <c r="Z53" s="46">
        <v>2</v>
      </c>
      <c r="AA53" s="44">
        <v>6</v>
      </c>
      <c r="AB53" s="44">
        <v>3</v>
      </c>
      <c r="AC53" s="44">
        <v>1</v>
      </c>
      <c r="AD53" s="44">
        <v>0</v>
      </c>
      <c r="AE53" s="44">
        <v>4</v>
      </c>
      <c r="AF53" s="102">
        <f>IFERROR(Tabel2[[#This Row],[Kans  ]]*SUM(Tabel2[[#This Row],[Tijd  ]:[Omgeving  ]]),0)</f>
        <v>28</v>
      </c>
      <c r="AG53" s="103">
        <f>VLOOKUP(Tabel2[[#This Row],[Kans  ]],KWANTIFICEERTABELLEN!$B$19:$J$26,8,FALSE())</f>
        <v>0.1</v>
      </c>
      <c r="AH53"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17500</v>
      </c>
      <c r="AI53" s="104">
        <f>IFERROR(Tabel2[[#This Row],[Kans   ]]*Tabel2[[#This Row],[Rekenwaarde kosten]],0)</f>
        <v>1750</v>
      </c>
      <c r="AJ53"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6 - 8 weken</v>
      </c>
    </row>
    <row r="54" spans="2:36" s="41" customFormat="1" ht="50.25" hidden="1" customHeight="1" x14ac:dyDescent="0.3">
      <c r="B54" s="100">
        <v>43</v>
      </c>
      <c r="C54" s="100"/>
      <c r="D54" s="51" t="s">
        <v>427</v>
      </c>
      <c r="E54" s="51"/>
      <c r="F54" s="51"/>
      <c r="G54" s="101"/>
      <c r="H54" s="43" t="s">
        <v>62</v>
      </c>
      <c r="I54" s="36"/>
      <c r="J54" s="36" t="s">
        <v>64</v>
      </c>
      <c r="K54" s="43" t="s">
        <v>8</v>
      </c>
      <c r="L54" s="46"/>
      <c r="M54" s="44"/>
      <c r="N54" s="44"/>
      <c r="O54" s="44"/>
      <c r="P54" s="44"/>
      <c r="Q54" s="44"/>
      <c r="R54" s="102">
        <f>IFERROR(Tabel2[[#This Row],[Kans]]*SUM(Tabel2[[#This Row],[Tijd]:[Omgeving]]),0)</f>
        <v>0</v>
      </c>
      <c r="S54" s="103"/>
      <c r="T54" s="104"/>
      <c r="U54" s="104"/>
      <c r="V54" s="105"/>
      <c r="W54" s="44"/>
      <c r="X54" s="45"/>
      <c r="Y54" s="48"/>
      <c r="Z54" s="46"/>
      <c r="AA54" s="44"/>
      <c r="AB54" s="44"/>
      <c r="AC54" s="44"/>
      <c r="AD54" s="44"/>
      <c r="AE54" s="44"/>
      <c r="AF54" s="102">
        <f>IFERROR(Tabel2[[#This Row],[Kans  ]]*SUM(Tabel2[[#This Row],[Tijd  ]:[Omgeving  ]]),0)</f>
        <v>0</v>
      </c>
      <c r="AG54" s="103">
        <f>VLOOKUP(Tabel2[[#This Row],[Kans  ]],KWANTIFICEERTABELLEN!$B$19:$J$26,8,FALSE())</f>
        <v>0</v>
      </c>
      <c r="AH54"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0</v>
      </c>
      <c r="AI54" s="104">
        <f>IFERROR(Tabel2[[#This Row],[Kans   ]]*Tabel2[[#This Row],[Rekenwaarde kosten]],0)</f>
        <v>0</v>
      </c>
      <c r="AJ54"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Geen impact</v>
      </c>
    </row>
    <row r="55" spans="2:36" s="41" customFormat="1" ht="38.25" hidden="1" customHeight="1" x14ac:dyDescent="0.3">
      <c r="B55" s="100">
        <v>44</v>
      </c>
      <c r="C55" s="100"/>
      <c r="D55" s="51" t="s">
        <v>157</v>
      </c>
      <c r="E55" s="51" t="s">
        <v>158</v>
      </c>
      <c r="F55" s="51" t="s">
        <v>159</v>
      </c>
      <c r="G55" s="101"/>
      <c r="H55" s="42" t="s">
        <v>62</v>
      </c>
      <c r="I55" s="36" t="s">
        <v>63</v>
      </c>
      <c r="J55" s="36" t="s">
        <v>64</v>
      </c>
      <c r="K55" s="43" t="s">
        <v>7</v>
      </c>
      <c r="L55" s="46"/>
      <c r="M55" s="44"/>
      <c r="N55" s="44"/>
      <c r="O55" s="44"/>
      <c r="P55" s="44"/>
      <c r="Q55" s="44"/>
      <c r="R55" s="102">
        <f>IFERROR(Tabel2[[#This Row],[Kans]]*SUM(Tabel2[[#This Row],[Tijd]:[Omgeving]]),0)</f>
        <v>0</v>
      </c>
      <c r="S55" s="103"/>
      <c r="T55" s="104"/>
      <c r="U55" s="104"/>
      <c r="V55" s="105" t="s">
        <v>160</v>
      </c>
      <c r="W55" s="47" t="s">
        <v>155</v>
      </c>
      <c r="X55" s="45" t="s">
        <v>161</v>
      </c>
      <c r="Y55" s="48"/>
      <c r="Z55" s="46">
        <v>2</v>
      </c>
      <c r="AA55" s="44">
        <v>6</v>
      </c>
      <c r="AB55" s="44">
        <v>3</v>
      </c>
      <c r="AC55" s="44">
        <v>1</v>
      </c>
      <c r="AD55" s="44">
        <v>0</v>
      </c>
      <c r="AE55" s="44">
        <v>4</v>
      </c>
      <c r="AF55" s="102">
        <f>IFERROR(Tabel2[[#This Row],[Kans  ]]*SUM(Tabel2[[#This Row],[Tijd  ]:[Omgeving  ]]),0)</f>
        <v>28</v>
      </c>
      <c r="AG55" s="103">
        <f>VLOOKUP(Tabel2[[#This Row],[Kans  ]],KWANTIFICEERTABELLEN!$B$19:$J$26,8,FALSE())</f>
        <v>0.1</v>
      </c>
      <c r="AH55"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17500</v>
      </c>
      <c r="AI55" s="104">
        <f>IFERROR(Tabel2[[#This Row],[Kans   ]]*Tabel2[[#This Row],[Rekenwaarde kosten]],0)</f>
        <v>1750</v>
      </c>
      <c r="AJ55"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6 - 8 weken</v>
      </c>
    </row>
    <row r="56" spans="2:36" s="41" customFormat="1" ht="38.25" hidden="1" customHeight="1" x14ac:dyDescent="0.3">
      <c r="B56" s="100">
        <v>45</v>
      </c>
      <c r="C56" s="100"/>
      <c r="D56" s="51" t="s">
        <v>162</v>
      </c>
      <c r="E56" s="51" t="s">
        <v>163</v>
      </c>
      <c r="F56" s="51" t="s">
        <v>164</v>
      </c>
      <c r="G56" s="101"/>
      <c r="H56" s="42" t="s">
        <v>62</v>
      </c>
      <c r="I56" s="36" t="s">
        <v>63</v>
      </c>
      <c r="J56" s="36" t="s">
        <v>64</v>
      </c>
      <c r="K56" s="43" t="s">
        <v>7</v>
      </c>
      <c r="L56" s="46"/>
      <c r="M56" s="44"/>
      <c r="N56" s="44"/>
      <c r="O56" s="44"/>
      <c r="P56" s="44"/>
      <c r="Q56" s="44"/>
      <c r="R56" s="102">
        <f>IFERROR(Tabel2[[#This Row],[Kans]]*SUM(Tabel2[[#This Row],[Tijd]:[Omgeving]]),0)</f>
        <v>0</v>
      </c>
      <c r="S56" s="103"/>
      <c r="T56" s="104"/>
      <c r="U56" s="104"/>
      <c r="V56" s="105" t="s">
        <v>160</v>
      </c>
      <c r="W56" s="47" t="s">
        <v>155</v>
      </c>
      <c r="X56" s="45" t="s">
        <v>161</v>
      </c>
      <c r="Y56" s="48"/>
      <c r="Z56" s="46">
        <v>2</v>
      </c>
      <c r="AA56" s="44">
        <v>6</v>
      </c>
      <c r="AB56" s="44">
        <v>3</v>
      </c>
      <c r="AC56" s="44">
        <v>1</v>
      </c>
      <c r="AD56" s="44">
        <v>0</v>
      </c>
      <c r="AE56" s="44">
        <v>4</v>
      </c>
      <c r="AF56" s="102">
        <f>IFERROR(Tabel2[[#This Row],[Kans  ]]*SUM(Tabel2[[#This Row],[Tijd  ]:[Omgeving  ]]),0)</f>
        <v>28</v>
      </c>
      <c r="AG56" s="103">
        <f>VLOOKUP(Tabel2[[#This Row],[Kans  ]],KWANTIFICEERTABELLEN!$B$19:$J$26,8,FALSE())</f>
        <v>0.1</v>
      </c>
      <c r="AH56"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17500</v>
      </c>
      <c r="AI56" s="104">
        <f>IFERROR(Tabel2[[#This Row],[Kans   ]]*Tabel2[[#This Row],[Rekenwaarde kosten]],0)</f>
        <v>1750</v>
      </c>
      <c r="AJ56"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6 - 8 weken</v>
      </c>
    </row>
    <row r="57" spans="2:36" ht="89.25" customHeight="1" x14ac:dyDescent="0.3">
      <c r="B57" s="100">
        <v>76</v>
      </c>
      <c r="C57" s="135" t="s">
        <v>575</v>
      </c>
      <c r="D57" s="52" t="s">
        <v>104</v>
      </c>
      <c r="E57" s="52" t="s">
        <v>105</v>
      </c>
      <c r="F57" s="52" t="s">
        <v>106</v>
      </c>
      <c r="G57" s="109"/>
      <c r="H57" s="42" t="s">
        <v>76</v>
      </c>
      <c r="I57" s="36" t="s">
        <v>77</v>
      </c>
      <c r="J57" s="36" t="s">
        <v>55</v>
      </c>
      <c r="K57" s="36" t="s">
        <v>8</v>
      </c>
      <c r="L57" s="39"/>
      <c r="M57" s="40"/>
      <c r="N57" s="40"/>
      <c r="O57" s="40"/>
      <c r="P57" s="40"/>
      <c r="Q57" s="40"/>
      <c r="R57" s="102">
        <f>IFERROR(Tabel2[[#This Row],[Kans]]*SUM(Tabel2[[#This Row],[Tijd]:[Omgeving]]),0)</f>
        <v>0</v>
      </c>
      <c r="S57" s="103" t="e">
        <f>IF(F$2&lt;KWANTIFICEERTABELLEN!B$17,_xlfn.XLOOKUP(Tabel2[[#This Row],[Kans]],KWANTIFICEERTABELLEN!$B$6:$B$13,KWANTIFICEERTABELLEN!I$6:I$13,),
IF(AND(F$2&gt;KWANTIFICEERTABELLEN!B$17,$F$2&lt;KWANTIFICEERTABELLEN!B$30),_xlfn.XLOOKUP(Tabel2[[#This Row],[Kans]],KWANTIFICEERTABELLEN!$B$19:$B$26,KWANTIFICEERTABELLEN!I$19:I$26),
IF(F$2&gt;KWANTIFICEERTABELLEN!B$30,_xlfn.XLOOKUP(Tabel2[[#This Row],[Kans]],KWANTIFICEERTABELLEN!$B$32:$B$39,KWANTIFICEERTABELLEN!I$32:I$39))))</f>
        <v>#N/A</v>
      </c>
      <c r="T57" s="116"/>
      <c r="U57" s="116"/>
      <c r="V57" s="117" t="s">
        <v>107</v>
      </c>
      <c r="W57" s="42"/>
      <c r="X57" s="48"/>
      <c r="Y57" s="50"/>
      <c r="Z57" s="44">
        <v>3</v>
      </c>
      <c r="AA57" s="44">
        <v>4</v>
      </c>
      <c r="AB57" s="44">
        <v>5</v>
      </c>
      <c r="AC57" s="44">
        <v>2</v>
      </c>
      <c r="AD57" s="44">
        <v>5</v>
      </c>
      <c r="AE57" s="44">
        <v>3</v>
      </c>
      <c r="AF57" s="102">
        <f>IFERROR(Tabel2[[#This Row],[Kans  ]]*SUM(Tabel2[[#This Row],[Tijd  ]:[Omgeving  ]]),0)</f>
        <v>57</v>
      </c>
      <c r="AG57" s="103">
        <f>IF(F$2&lt;KWANTIFICEERTABELLEN!B$17,_xlfn.XLOOKUP(Tabel2[[#This Row],[Kans  ]],KWANTIFICEERTABELLEN!$B$6:$B$13,KWANTIFICEERTABELLEN!I$6:I$13,),
IF(AND(F$2&gt;KWANTIFICEERTABELLEN!B$17,$F$2&lt;KWANTIFICEERTABELLEN!B$30),_xlfn.XLOOKUP(Tabel2[[#This Row],[Kans  ]],KWANTIFICEERTABELLEN!$B$19:$B$26,KWANTIFICEERTABELLEN!I$19:I$26),
IF(F$2&gt;KWANTIFICEERTABELLEN!B$30,_xlfn.XLOOKUP(Tabel2[[#This Row],[Kans  ]],KWANTIFICEERTABELLEN!$B$32:$B$39,KWANTIFICEERTABELLEN!I$32:I$39))))</f>
        <v>0.2</v>
      </c>
      <c r="AH57" s="106">
        <f>IF(F$2&lt;KWANTIFICEERTABELLEN!B$17,_xlfn.XLOOKUP(Tabel2[[#This Row],[Geld  ]],KWANTIFICEERTABELLEN!$B$6:$B$13,KWANTIFICEERTABELLEN!J$6:J$13,),
IF(AND(F$2&gt;KWANTIFICEERTABELLEN!B$17,$F$2&lt;KWANTIFICEERTABELLEN!B$30),_xlfn.XLOOKUP(Tabel2[[#This Row],[Geld  ]],KWANTIFICEERTABELLEN!$B$19:$B$26,KWANTIFICEERTABELLEN!J$19:J$26),
IF(F$2&gt;KWANTIFICEERTABELLEN!B$30,_xlfn.XLOOKUP(Tabel2[[#This Row],[Geld  ]],KWANTIFICEERTABELLEN!$B$32:$B$39,KWANTIFICEERTABELLEN!J$32:J$39))))</f>
        <v>67500</v>
      </c>
      <c r="AI57" s="104">
        <f>IFERROR(Tabel2[[#This Row],[Kans   ]]*Tabel2[[#This Row],[Rekenwaarde kosten]],0)</f>
        <v>13500</v>
      </c>
      <c r="AJ57"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2 - 4 weken</v>
      </c>
    </row>
    <row r="58" spans="2:36" ht="51" customHeight="1" x14ac:dyDescent="0.3">
      <c r="B58" s="100">
        <v>93</v>
      </c>
      <c r="C58" s="135" t="s">
        <v>573</v>
      </c>
      <c r="D58" s="52" t="s">
        <v>428</v>
      </c>
      <c r="E58" s="52" t="s">
        <v>429</v>
      </c>
      <c r="F58" s="52" t="s">
        <v>430</v>
      </c>
      <c r="G58" s="109" t="s">
        <v>431</v>
      </c>
      <c r="H58" s="42" t="s">
        <v>76</v>
      </c>
      <c r="I58" s="36" t="s">
        <v>77</v>
      </c>
      <c r="J58" s="36" t="s">
        <v>55</v>
      </c>
      <c r="K58" s="36" t="s">
        <v>8</v>
      </c>
      <c r="L58" s="39"/>
      <c r="M58" s="40"/>
      <c r="N58" s="40"/>
      <c r="O58" s="40"/>
      <c r="P58" s="40"/>
      <c r="Q58" s="40"/>
      <c r="R58" s="102">
        <f>IFERROR(Tabel2[[#This Row],[Kans]]*SUM(Tabel2[[#This Row],[Tijd]:[Omgeving]]),0)</f>
        <v>0</v>
      </c>
      <c r="S58" s="103" t="e">
        <f>IF(F$2&lt;KWANTIFICEERTABELLEN!B$17,_xlfn.XLOOKUP(Tabel2[[#This Row],[Kans]],KWANTIFICEERTABELLEN!$B$6:$B$13,KWANTIFICEERTABELLEN!I$6:I$13,),IF(AND(F$2&gt;KWANTIFICEERTABELLEN!B$17,$F$2&lt;KWANTIFICEERTABELLEN!B$30),_xlfn.XLOOKUP(Tabel2[[#This Row],[Kans]],KWANTIFICEERTABELLEN!$B$19:$B$26,KWANTIFICEERTABELLEN!I$19:I$26),IF(F$2&gt;KWANTIFICEERTABELLEN!B$30,_xlfn.XLOOKUP(Tabel2[[#This Row],[Kans]],KWANTIFICEERTABELLEN!$B$32:$B$39,KWANTIFICEERTABELLEN!I$32:I$39))))</f>
        <v>#N/A</v>
      </c>
      <c r="T58" s="116"/>
      <c r="U58" s="116">
        <f>IFERROR(Tabel2[[#This Row],[Kans ]]*Tabel2[[#This Row],[Geld ]],0)</f>
        <v>0</v>
      </c>
      <c r="V58" s="117" t="s">
        <v>432</v>
      </c>
      <c r="W58" s="42"/>
      <c r="X58" s="48"/>
      <c r="Y58" s="50"/>
      <c r="Z58" s="44">
        <v>3</v>
      </c>
      <c r="AA58" s="44">
        <v>4</v>
      </c>
      <c r="AB58" s="44">
        <v>4</v>
      </c>
      <c r="AC58" s="44">
        <v>4</v>
      </c>
      <c r="AD58" s="44">
        <v>5</v>
      </c>
      <c r="AE58" s="44">
        <v>2</v>
      </c>
      <c r="AF58" s="102">
        <f>IFERROR(Tabel2[[#This Row],[Kans  ]]*SUM(Tabel2[[#This Row],[Tijd  ]:[Omgeving  ]]),0)</f>
        <v>57</v>
      </c>
      <c r="AG58" s="103">
        <f>IF(F$2&lt;KWANTIFICEERTABELLEN!B$17,_xlfn.XLOOKUP(Tabel2[[#This Row],[Kans  ]],KWANTIFICEERTABELLEN!$B$6:$B$13,KWANTIFICEERTABELLEN!I$6:I$13,),IF(AND(F$2&gt;KWANTIFICEERTABELLEN!B$17,$F$2&lt;KWANTIFICEERTABELLEN!B$30),_xlfn.XLOOKUP(Tabel2[[#This Row],[Kans  ]],KWANTIFICEERTABELLEN!$B$19:$B$26,KWANTIFICEERTABELLEN!I$19:I$26),IF(F$2&gt;KWANTIFICEERTABELLEN!B$30,_xlfn.XLOOKUP(Tabel2[[#This Row],[Kans  ]],KWANTIFICEERTABELLEN!$B$32:$B$39,KWANTIFICEERTABELLEN!I$32:I$39))))</f>
        <v>0.2</v>
      </c>
      <c r="AH58" s="106">
        <f>IF(F$2&lt;KWANTIFICEERTABELLEN!B$17,_xlfn.XLOOKUP(Tabel2[[#This Row],[Geld  ]],KWANTIFICEERTABELLEN!$B$6:$B$13,KWANTIFICEERTABELLEN!J$6:J$13,),IF(AND(F$2&gt;KWANTIFICEERTABELLEN!B$17,$F$2&lt;KWANTIFICEERTABELLEN!B$30),_xlfn.XLOOKUP(Tabel2[[#This Row],[Geld  ]],KWANTIFICEERTABELLEN!$B$19:$B$26,KWANTIFICEERTABELLEN!J$19:J$26),IF(F$2&gt;KWANTIFICEERTABELLEN!B$30,_xlfn.XLOOKUP(Tabel2[[#This Row],[Geld  ]],KWANTIFICEERTABELLEN!$B$32:$B$39,KWANTIFICEERTABELLEN!J$32:J$39))))</f>
        <v>37500</v>
      </c>
      <c r="AI58" s="104">
        <f>IFERROR(Tabel2[[#This Row],[Kans   ]]*Tabel2[[#This Row],[Rekenwaarde kosten]],0)</f>
        <v>7500</v>
      </c>
      <c r="AJ58" s="107" t="str">
        <f>IF(F$2&lt;KWANTIFICEERTABELLEN!B$4,VLOOKUP(Tabel2[[#This Row],[Tijd  ]],KWANTIFICEERTABELLEN!$B$6:$D$13,3,FALSE()),IF(AND(F$2&gt;KWANTIFICEERTABELLEN!B$4,$F$2&lt;KWANTIFICEERTABELLEN!B$30),VLOOKUP(Tabel2[[#This Row],[Tijd  ]],KWANTIFICEERTABELLEN!$B$19:$D$26,3,FALSE()),IF(F$2&gt;KWANTIFICEERTABELLEN!B$30,VLOOKUP(Tabel2[[#This Row],[Tijd  ]],KWANTIFICEERTABELLEN!$B$32:$D$39,3,FALSE()),)))</f>
        <v>2 - 4 weken</v>
      </c>
    </row>
    <row r="59" spans="2:36" ht="114.75" hidden="1" customHeight="1" x14ac:dyDescent="0.3">
      <c r="B59" s="100">
        <v>48</v>
      </c>
      <c r="C59" s="100"/>
      <c r="D59" s="52" t="s">
        <v>188</v>
      </c>
      <c r="E59" s="52" t="s">
        <v>189</v>
      </c>
      <c r="F59" s="52" t="s">
        <v>190</v>
      </c>
      <c r="G59" s="109" t="s">
        <v>191</v>
      </c>
      <c r="H59" s="42" t="s">
        <v>62</v>
      </c>
      <c r="I59" s="36" t="s">
        <v>63</v>
      </c>
      <c r="J59" s="36" t="s">
        <v>64</v>
      </c>
      <c r="K59" s="36" t="s">
        <v>7</v>
      </c>
      <c r="L59" s="39">
        <v>3</v>
      </c>
      <c r="M59" s="40">
        <v>5</v>
      </c>
      <c r="N59" s="40">
        <v>2</v>
      </c>
      <c r="O59" s="40">
        <v>0</v>
      </c>
      <c r="P59" s="40">
        <v>0</v>
      </c>
      <c r="Q59" s="40">
        <v>4</v>
      </c>
      <c r="R59" s="102">
        <f>IFERROR(Tabel2[[#This Row],[Kans]]*SUM(Tabel2[[#This Row],[Tijd]:[Omgeving]]),0)</f>
        <v>33</v>
      </c>
      <c r="S59" s="115"/>
      <c r="T59" s="116"/>
      <c r="U59" s="116"/>
      <c r="V59" s="117" t="s">
        <v>192</v>
      </c>
      <c r="W59" s="42"/>
      <c r="X59" s="48"/>
      <c r="Y59" s="50"/>
      <c r="Z59" s="39">
        <v>2</v>
      </c>
      <c r="AA59" s="40">
        <v>5</v>
      </c>
      <c r="AB59" s="40">
        <v>2</v>
      </c>
      <c r="AC59" s="40">
        <v>0</v>
      </c>
      <c r="AD59" s="40">
        <v>0</v>
      </c>
      <c r="AE59" s="40">
        <v>4</v>
      </c>
      <c r="AF59" s="102">
        <f>IFERROR(Tabel2[[#This Row],[Kans  ]]*SUM(Tabel2[[#This Row],[Tijd  ]:[Omgeving  ]]),0)</f>
        <v>22</v>
      </c>
      <c r="AG59" s="103">
        <f>VLOOKUP(Tabel2[[#This Row],[Kans  ]],KWANTIFICEERTABELLEN!$B$19:$J$26,8,FALSE())</f>
        <v>0.1</v>
      </c>
      <c r="AH59"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7500</v>
      </c>
      <c r="AI59" s="104">
        <f>IFERROR(Tabel2[[#This Row],[Kans   ]]*Tabel2[[#This Row],[Rekenwaarde kosten]],0)</f>
        <v>750</v>
      </c>
      <c r="AJ59"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4 - 6 weken</v>
      </c>
    </row>
    <row r="60" spans="2:36" ht="114.75" customHeight="1" x14ac:dyDescent="0.3">
      <c r="B60" s="100">
        <v>68</v>
      </c>
      <c r="C60" s="135" t="s">
        <v>573</v>
      </c>
      <c r="D60" s="52" t="s">
        <v>263</v>
      </c>
      <c r="E60" s="52" t="s">
        <v>264</v>
      </c>
      <c r="F60" s="52" t="s">
        <v>265</v>
      </c>
      <c r="G60" s="109"/>
      <c r="H60" s="43" t="s">
        <v>96</v>
      </c>
      <c r="I60" s="36" t="s">
        <v>77</v>
      </c>
      <c r="J60" s="36" t="s">
        <v>64</v>
      </c>
      <c r="K60" s="36" t="s">
        <v>8</v>
      </c>
      <c r="L60" s="39">
        <v>6</v>
      </c>
      <c r="M60" s="40">
        <v>1</v>
      </c>
      <c r="N60" s="40">
        <v>4</v>
      </c>
      <c r="O60" s="40">
        <v>0</v>
      </c>
      <c r="P60" s="40">
        <v>6</v>
      </c>
      <c r="Q60" s="40">
        <v>5</v>
      </c>
      <c r="R60" s="102">
        <f>IFERROR(Tabel2[[#This Row],[Kans]]*SUM(Tabel2[[#This Row],[Tijd]:[Omgeving]]),0)</f>
        <v>96</v>
      </c>
      <c r="S60" s="103">
        <f>IF(F$2&lt;KWANTIFICEERTABELLEN!B$17,_xlfn.XLOOKUP(Tabel2[[#This Row],[Kans]],KWANTIFICEERTABELLEN!$B$6:$B$13,KWANTIFICEERTABELLEN!I$6:I$13,),
IF(AND(F$2&gt;KWANTIFICEERTABELLEN!B$17,$F$2&lt;KWANTIFICEERTABELLEN!B$30),_xlfn.XLOOKUP(Tabel2[[#This Row],[Kans]],KWANTIFICEERTABELLEN!$B$19:$B$26,KWANTIFICEERTABELLEN!I$19:I$26),
IF(F$2&gt;KWANTIFICEERTABELLEN!B$30,_xlfn.XLOOKUP(Tabel2[[#This Row],[Kans]],KWANTIFICEERTABELLEN!$B$32:$B$39,KWANTIFICEERTABELLEN!I$32:I$39))))</f>
        <v>0.5</v>
      </c>
      <c r="T60" s="116"/>
      <c r="U60" s="116"/>
      <c r="V60" s="117" t="s">
        <v>266</v>
      </c>
      <c r="W60" s="42"/>
      <c r="X60" s="48"/>
      <c r="Y60" s="50"/>
      <c r="Z60" s="44">
        <v>5</v>
      </c>
      <c r="AA60" s="44">
        <v>1</v>
      </c>
      <c r="AB60" s="44">
        <v>4</v>
      </c>
      <c r="AC60" s="44">
        <v>0</v>
      </c>
      <c r="AD60" s="44">
        <v>1</v>
      </c>
      <c r="AE60" s="44">
        <v>5</v>
      </c>
      <c r="AF60" s="102">
        <f>IFERROR(Tabel2[[#This Row],[Kans  ]]*SUM(Tabel2[[#This Row],[Tijd  ]:[Omgeving  ]]),0)</f>
        <v>55</v>
      </c>
      <c r="AG60" s="103">
        <f>IF(F$2&lt;KWANTIFICEERTABELLEN!B$17,_xlfn.XLOOKUP(Tabel2[[#This Row],[Kans  ]],KWANTIFICEERTABELLEN!$B$6:$B$13,KWANTIFICEERTABELLEN!I$6:I$13,),
IF(AND(F$2&gt;KWANTIFICEERTABELLEN!B$17,$F$2&lt;KWANTIFICEERTABELLEN!B$30),_xlfn.XLOOKUP(Tabel2[[#This Row],[Kans  ]],KWANTIFICEERTABELLEN!$B$19:$B$26,KWANTIFICEERTABELLEN!I$19:I$26),
IF(F$2&gt;KWANTIFICEERTABELLEN!B$30,_xlfn.XLOOKUP(Tabel2[[#This Row],[Kans  ]],KWANTIFICEERTABELLEN!$B$32:$B$39,KWANTIFICEERTABELLEN!I$32:I$39))))</f>
        <v>0.4</v>
      </c>
      <c r="AH60" s="106">
        <f>IF(F$2&lt;KWANTIFICEERTABELLEN!B$17,_xlfn.XLOOKUP(Tabel2[[#This Row],[Geld  ]],KWANTIFICEERTABELLEN!$B$6:$B$13,KWANTIFICEERTABELLEN!J$6:J$13,),
IF(AND(F$2&gt;KWANTIFICEERTABELLEN!B$17,$F$2&lt;KWANTIFICEERTABELLEN!B$30),_xlfn.XLOOKUP(Tabel2[[#This Row],[Geld  ]],KWANTIFICEERTABELLEN!$B$19:$B$26,KWANTIFICEERTABELLEN!J$19:J$26),
IF(F$2&gt;KWANTIFICEERTABELLEN!B$30,_xlfn.XLOOKUP(Tabel2[[#This Row],[Geld  ]],KWANTIFICEERTABELLEN!$B$32:$B$39,KWANTIFICEERTABELLEN!J$32:J$39))))</f>
        <v>37500</v>
      </c>
      <c r="AI60" s="104">
        <f>IFERROR(Tabel2[[#This Row],[Kans   ]]*Tabel2[[#This Row],[Rekenwaarde kosten]],0)</f>
        <v>15000</v>
      </c>
      <c r="AJ60"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&lt; 0.5 week</v>
      </c>
    </row>
    <row r="61" spans="2:36" ht="114.75" hidden="1" customHeight="1" x14ac:dyDescent="0.3">
      <c r="B61" s="100">
        <v>50</v>
      </c>
      <c r="C61" s="100"/>
      <c r="D61" s="52" t="s">
        <v>108</v>
      </c>
      <c r="E61" s="52" t="s">
        <v>109</v>
      </c>
      <c r="F61" s="52" t="s">
        <v>110</v>
      </c>
      <c r="G61" s="109"/>
      <c r="H61" s="42" t="s">
        <v>62</v>
      </c>
      <c r="I61" s="36" t="s">
        <v>63</v>
      </c>
      <c r="J61" s="36" t="s">
        <v>7</v>
      </c>
      <c r="K61" s="36" t="s">
        <v>7</v>
      </c>
      <c r="L61" s="39"/>
      <c r="M61" s="40"/>
      <c r="N61" s="40"/>
      <c r="O61" s="40"/>
      <c r="P61" s="40"/>
      <c r="Q61" s="40"/>
      <c r="R61" s="102">
        <f>IFERROR(Tabel2[[#This Row],[Kans]]*SUM(Tabel2[[#This Row],[Tijd]:[Omgeving]]),0)</f>
        <v>0</v>
      </c>
      <c r="S61" s="115"/>
      <c r="T61" s="116"/>
      <c r="U61" s="116"/>
      <c r="V61" s="117" t="s">
        <v>111</v>
      </c>
      <c r="W61" s="42"/>
      <c r="X61" s="48"/>
      <c r="Y61" s="50"/>
      <c r="Z61" s="44">
        <v>3</v>
      </c>
      <c r="AA61" s="44">
        <v>3</v>
      </c>
      <c r="AB61" s="44">
        <v>2</v>
      </c>
      <c r="AC61" s="44">
        <v>3</v>
      </c>
      <c r="AD61" s="44">
        <v>0</v>
      </c>
      <c r="AE61" s="44">
        <v>2</v>
      </c>
      <c r="AF61" s="102">
        <f>IFERROR(Tabel2[[#This Row],[Kans  ]]*SUM(Tabel2[[#This Row],[Tijd  ]:[Omgeving  ]]),0)</f>
        <v>30</v>
      </c>
      <c r="AG61" s="103">
        <f>VLOOKUP(Tabel2[[#This Row],[Kans  ]],KWANTIFICEERTABELLEN!$B$19:$J$26,8,FALSE())</f>
        <v>0.2</v>
      </c>
      <c r="AH61"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7500</v>
      </c>
      <c r="AI61" s="104">
        <f>IFERROR(Tabel2[[#This Row],[Kans   ]]*Tabel2[[#This Row],[Rekenwaarde kosten]],0)</f>
        <v>1500</v>
      </c>
      <c r="AJ61"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1 - 2 weken</v>
      </c>
    </row>
    <row r="62" spans="2:36" ht="102" hidden="1" customHeight="1" x14ac:dyDescent="0.3">
      <c r="B62" s="100">
        <v>51</v>
      </c>
      <c r="C62" s="100"/>
      <c r="D62" s="52" t="s">
        <v>117</v>
      </c>
      <c r="E62" s="52" t="s">
        <v>118</v>
      </c>
      <c r="F62" s="52" t="s">
        <v>119</v>
      </c>
      <c r="G62" s="109"/>
      <c r="H62" s="42" t="s">
        <v>62</v>
      </c>
      <c r="I62" s="36" t="s">
        <v>63</v>
      </c>
      <c r="J62" s="36" t="s">
        <v>7</v>
      </c>
      <c r="K62" s="36" t="s">
        <v>7</v>
      </c>
      <c r="L62" s="39"/>
      <c r="M62" s="40"/>
      <c r="N62" s="40"/>
      <c r="O62" s="40"/>
      <c r="P62" s="40"/>
      <c r="Q62" s="40"/>
      <c r="R62" s="102">
        <f>IFERROR(Tabel2[[#This Row],[Kans]]*SUM(Tabel2[[#This Row],[Tijd]:[Omgeving]]),0)</f>
        <v>0</v>
      </c>
      <c r="S62" s="115"/>
      <c r="T62" s="116"/>
      <c r="U62" s="116"/>
      <c r="V62" s="117" t="s">
        <v>120</v>
      </c>
      <c r="W62" s="42"/>
      <c r="X62" s="48"/>
      <c r="Y62" s="50"/>
      <c r="Z62" s="44">
        <v>3</v>
      </c>
      <c r="AA62" s="44">
        <v>3</v>
      </c>
      <c r="AB62" s="44">
        <v>2</v>
      </c>
      <c r="AC62" s="44">
        <v>3</v>
      </c>
      <c r="AD62" s="44">
        <v>0</v>
      </c>
      <c r="AE62" s="44">
        <v>2</v>
      </c>
      <c r="AF62" s="102">
        <f>IFERROR(Tabel2[[#This Row],[Kans  ]]*SUM(Tabel2[[#This Row],[Tijd  ]:[Omgeving  ]]),0)</f>
        <v>30</v>
      </c>
      <c r="AG62" s="103">
        <f>VLOOKUP(Tabel2[[#This Row],[Kans  ]],KWANTIFICEERTABELLEN!$B$19:$J$26,8,FALSE())</f>
        <v>0.2</v>
      </c>
      <c r="AH62"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7500</v>
      </c>
      <c r="AI62" s="104">
        <f>IFERROR(Tabel2[[#This Row],[Kans   ]]*Tabel2[[#This Row],[Rekenwaarde kosten]],0)</f>
        <v>1500</v>
      </c>
      <c r="AJ62"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1 - 2 weken</v>
      </c>
    </row>
    <row r="63" spans="2:36" ht="114.75" customHeight="1" x14ac:dyDescent="0.3">
      <c r="B63" s="100">
        <v>82</v>
      </c>
      <c r="C63" s="135" t="s">
        <v>573</v>
      </c>
      <c r="D63" s="52" t="s">
        <v>193</v>
      </c>
      <c r="E63" s="52" t="s">
        <v>194</v>
      </c>
      <c r="F63" s="52" t="s">
        <v>195</v>
      </c>
      <c r="G63" s="109"/>
      <c r="H63" s="42" t="s">
        <v>76</v>
      </c>
      <c r="I63" s="36" t="s">
        <v>77</v>
      </c>
      <c r="J63" s="36" t="s">
        <v>64</v>
      </c>
      <c r="K63" s="36" t="s">
        <v>8</v>
      </c>
      <c r="L63" s="39"/>
      <c r="M63" s="40"/>
      <c r="N63" s="40"/>
      <c r="O63" s="40"/>
      <c r="P63" s="40"/>
      <c r="Q63" s="40"/>
      <c r="R63" s="102">
        <f>IFERROR(Tabel2[[#This Row],[Kans]]*SUM(Tabel2[[#This Row],[Tijd]:[Omgeving]]),0)</f>
        <v>0</v>
      </c>
      <c r="S63" s="103" t="e">
        <f>IF(F$2&lt;KWANTIFICEERTABELLEN!B$17,_xlfn.XLOOKUP(Tabel2[[#This Row],[Kans]],KWANTIFICEERTABELLEN!$B$6:$B$13,KWANTIFICEERTABELLEN!I$6:I$13,),
IF(AND(F$2&gt;KWANTIFICEERTABELLEN!B$17,$F$2&lt;KWANTIFICEERTABELLEN!B$30),_xlfn.XLOOKUP(Tabel2[[#This Row],[Kans]],KWANTIFICEERTABELLEN!$B$19:$B$26,KWANTIFICEERTABELLEN!I$19:I$26),
IF(F$2&gt;KWANTIFICEERTABELLEN!B$30,_xlfn.XLOOKUP(Tabel2[[#This Row],[Kans]],KWANTIFICEERTABELLEN!$B$32:$B$39,KWANTIFICEERTABELLEN!I$32:I$39))))</f>
        <v>#N/A</v>
      </c>
      <c r="T63" s="116"/>
      <c r="U63" s="116"/>
      <c r="V63" s="117" t="s">
        <v>196</v>
      </c>
      <c r="W63" s="42"/>
      <c r="X63" s="48"/>
      <c r="Y63" s="50"/>
      <c r="Z63" s="44">
        <v>3</v>
      </c>
      <c r="AA63" s="44">
        <v>4</v>
      </c>
      <c r="AB63" s="44">
        <v>3</v>
      </c>
      <c r="AC63" s="44">
        <v>4</v>
      </c>
      <c r="AD63" s="44">
        <v>5</v>
      </c>
      <c r="AE63" s="44">
        <v>1</v>
      </c>
      <c r="AF63" s="102">
        <f>IFERROR(Tabel2[[#This Row],[Kans  ]]*SUM(Tabel2[[#This Row],[Tijd  ]:[Omgeving  ]]),0)</f>
        <v>51</v>
      </c>
      <c r="AG63" s="103">
        <f>IF(F$2&lt;KWANTIFICEERTABELLEN!B$17,_xlfn.XLOOKUP(Tabel2[[#This Row],[Kans  ]],KWANTIFICEERTABELLEN!$B$6:$B$13,KWANTIFICEERTABELLEN!I$6:I$13,),
IF(AND(F$2&gt;KWANTIFICEERTABELLEN!B$17,$F$2&lt;KWANTIFICEERTABELLEN!B$30),_xlfn.XLOOKUP(Tabel2[[#This Row],[Kans  ]],KWANTIFICEERTABELLEN!$B$19:$B$26,KWANTIFICEERTABELLEN!I$19:I$26),
IF(F$2&gt;KWANTIFICEERTABELLEN!B$30,_xlfn.XLOOKUP(Tabel2[[#This Row],[Kans  ]],KWANTIFICEERTABELLEN!$B$32:$B$39,KWANTIFICEERTABELLEN!I$32:I$39))))</f>
        <v>0.2</v>
      </c>
      <c r="AH63" s="106">
        <f>IF(F$2&lt;KWANTIFICEERTABELLEN!B$17,_xlfn.XLOOKUP(Tabel2[[#This Row],[Geld  ]],KWANTIFICEERTABELLEN!$B$6:$B$13,KWANTIFICEERTABELLEN!J$6:J$13,),
IF(AND(F$2&gt;KWANTIFICEERTABELLEN!B$17,$F$2&lt;KWANTIFICEERTABELLEN!B$30),_xlfn.XLOOKUP(Tabel2[[#This Row],[Geld  ]],KWANTIFICEERTABELLEN!$B$19:$B$26,KWANTIFICEERTABELLEN!J$19:J$26),
IF(F$2&gt;KWANTIFICEERTABELLEN!B$30,_xlfn.XLOOKUP(Tabel2[[#This Row],[Geld  ]],KWANTIFICEERTABELLEN!$B$32:$B$39,KWANTIFICEERTABELLEN!J$32:J$39))))</f>
        <v>17500</v>
      </c>
      <c r="AI63" s="104">
        <f>IFERROR(Tabel2[[#This Row],[Kans   ]]*Tabel2[[#This Row],[Rekenwaarde kosten]],0)</f>
        <v>3500</v>
      </c>
      <c r="AJ63"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2 - 4 weken</v>
      </c>
    </row>
    <row r="64" spans="2:36" ht="102" customHeight="1" x14ac:dyDescent="0.3">
      <c r="B64" s="100">
        <v>86</v>
      </c>
      <c r="C64" s="135" t="s">
        <v>574</v>
      </c>
      <c r="D64" s="52" t="s">
        <v>197</v>
      </c>
      <c r="E64" s="52" t="s">
        <v>198</v>
      </c>
      <c r="F64" s="52" t="s">
        <v>199</v>
      </c>
      <c r="G64" s="109"/>
      <c r="H64" s="42" t="s">
        <v>76</v>
      </c>
      <c r="I64" s="36" t="s">
        <v>77</v>
      </c>
      <c r="J64" s="36" t="s">
        <v>64</v>
      </c>
      <c r="K64" s="36" t="s">
        <v>8</v>
      </c>
      <c r="L64" s="39"/>
      <c r="M64" s="40"/>
      <c r="N64" s="40"/>
      <c r="O64" s="40"/>
      <c r="P64" s="40"/>
      <c r="Q64" s="40"/>
      <c r="R64" s="102">
        <f>IFERROR(Tabel2[[#This Row],[Kans]]*SUM(Tabel2[[#This Row],[Tijd]:[Omgeving]]),0)</f>
        <v>0</v>
      </c>
      <c r="S64" s="103" t="e">
        <f>IF(F$2&lt;KWANTIFICEERTABELLEN!B$17,_xlfn.XLOOKUP(Tabel2[[#This Row],[Kans]],KWANTIFICEERTABELLEN!$B$6:$B$13,KWANTIFICEERTABELLEN!I$6:I$13,),
IF(AND(F$2&gt;KWANTIFICEERTABELLEN!B$17,$F$2&lt;KWANTIFICEERTABELLEN!B$30),_xlfn.XLOOKUP(Tabel2[[#This Row],[Kans]],KWANTIFICEERTABELLEN!$B$19:$B$26,KWANTIFICEERTABELLEN!I$19:I$26),
IF(F$2&gt;KWANTIFICEERTABELLEN!B$30,_xlfn.XLOOKUP(Tabel2[[#This Row],[Kans]],KWANTIFICEERTABELLEN!$B$32:$B$39,KWANTIFICEERTABELLEN!I$32:I$39))))</f>
        <v>#N/A</v>
      </c>
      <c r="T64" s="116"/>
      <c r="U64" s="116"/>
      <c r="V64" s="117" t="s">
        <v>200</v>
      </c>
      <c r="W64" s="42"/>
      <c r="X64" s="48"/>
      <c r="Y64" s="50"/>
      <c r="Z64" s="44">
        <v>3</v>
      </c>
      <c r="AA64" s="44">
        <v>4</v>
      </c>
      <c r="AB64" s="44">
        <v>4</v>
      </c>
      <c r="AC64" s="44">
        <v>3</v>
      </c>
      <c r="AD64" s="44">
        <v>4</v>
      </c>
      <c r="AE64" s="44">
        <v>2</v>
      </c>
      <c r="AF64" s="102">
        <f>IFERROR(Tabel2[[#This Row],[Kans  ]]*SUM(Tabel2[[#This Row],[Tijd  ]:[Omgeving  ]]),0)</f>
        <v>51</v>
      </c>
      <c r="AG64" s="103">
        <f>IF(F$2&lt;KWANTIFICEERTABELLEN!B$17,_xlfn.XLOOKUP(Tabel2[[#This Row],[Kans  ]],KWANTIFICEERTABELLEN!$B$6:$B$13,KWANTIFICEERTABELLEN!I$6:I$13,),
IF(AND(F$2&gt;KWANTIFICEERTABELLEN!B$17,$F$2&lt;KWANTIFICEERTABELLEN!B$30),_xlfn.XLOOKUP(Tabel2[[#This Row],[Kans  ]],KWANTIFICEERTABELLEN!$B$19:$B$26,KWANTIFICEERTABELLEN!I$19:I$26),
IF(F$2&gt;KWANTIFICEERTABELLEN!B$30,_xlfn.XLOOKUP(Tabel2[[#This Row],[Kans  ]],KWANTIFICEERTABELLEN!$B$32:$B$39,KWANTIFICEERTABELLEN!I$32:I$39))))</f>
        <v>0.2</v>
      </c>
      <c r="AH64" s="106">
        <f>IF(F$2&lt;KWANTIFICEERTABELLEN!B$17,_xlfn.XLOOKUP(Tabel2[[#This Row],[Geld  ]],KWANTIFICEERTABELLEN!$B$6:$B$13,KWANTIFICEERTABELLEN!J$6:J$13,),
IF(AND(F$2&gt;KWANTIFICEERTABELLEN!B$17,$F$2&lt;KWANTIFICEERTABELLEN!B$30),_xlfn.XLOOKUP(Tabel2[[#This Row],[Geld  ]],KWANTIFICEERTABELLEN!$B$19:$B$26,KWANTIFICEERTABELLEN!J$19:J$26),
IF(F$2&gt;KWANTIFICEERTABELLEN!B$30,_xlfn.XLOOKUP(Tabel2[[#This Row],[Geld  ]],KWANTIFICEERTABELLEN!$B$32:$B$39,KWANTIFICEERTABELLEN!J$32:J$39))))</f>
        <v>37500</v>
      </c>
      <c r="AI64" s="104">
        <f>IFERROR(Tabel2[[#This Row],[Kans   ]]*Tabel2[[#This Row],[Rekenwaarde kosten]],0)</f>
        <v>7500</v>
      </c>
      <c r="AJ64"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2 - 4 weken</v>
      </c>
    </row>
    <row r="65" spans="2:36" ht="102" hidden="1" customHeight="1" x14ac:dyDescent="0.3">
      <c r="B65" s="100">
        <v>54</v>
      </c>
      <c r="C65" s="100"/>
      <c r="D65" s="52" t="s">
        <v>125</v>
      </c>
      <c r="E65" s="52" t="s">
        <v>126</v>
      </c>
      <c r="F65" s="52" t="s">
        <v>127</v>
      </c>
      <c r="G65" s="109"/>
      <c r="H65" s="42" t="s">
        <v>62</v>
      </c>
      <c r="I65" s="36" t="s">
        <v>63</v>
      </c>
      <c r="J65" s="36" t="s">
        <v>64</v>
      </c>
      <c r="K65" s="36" t="s">
        <v>7</v>
      </c>
      <c r="L65" s="39"/>
      <c r="M65" s="40"/>
      <c r="N65" s="40"/>
      <c r="O65" s="40"/>
      <c r="P65" s="40"/>
      <c r="Q65" s="40"/>
      <c r="R65" s="102">
        <f>IFERROR(Tabel2[[#This Row],[Kans]]*SUM(Tabel2[[#This Row],[Tijd]:[Omgeving]]),0)</f>
        <v>0</v>
      </c>
      <c r="S65" s="115"/>
      <c r="T65" s="116"/>
      <c r="U65" s="116"/>
      <c r="V65" s="117" t="s">
        <v>128</v>
      </c>
      <c r="W65" s="42"/>
      <c r="X65" s="48"/>
      <c r="Y65" s="50"/>
      <c r="Z65" s="44">
        <v>3</v>
      </c>
      <c r="AA65" s="44">
        <v>4</v>
      </c>
      <c r="AB65" s="44">
        <v>3</v>
      </c>
      <c r="AC65" s="44">
        <v>1</v>
      </c>
      <c r="AD65" s="44">
        <v>0</v>
      </c>
      <c r="AE65" s="44">
        <v>2</v>
      </c>
      <c r="AF65" s="102">
        <f>IFERROR(Tabel2[[#This Row],[Kans  ]]*SUM(Tabel2[[#This Row],[Tijd  ]:[Omgeving  ]]),0)</f>
        <v>30</v>
      </c>
      <c r="AG65" s="103">
        <f>VLOOKUP(Tabel2[[#This Row],[Kans  ]],KWANTIFICEERTABELLEN!$B$19:$J$26,8,FALSE())</f>
        <v>0.2</v>
      </c>
      <c r="AH65"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17500</v>
      </c>
      <c r="AI65" s="104">
        <f>IFERROR(Tabel2[[#This Row],[Kans   ]]*Tabel2[[#This Row],[Rekenwaarde kosten]],0)</f>
        <v>3500</v>
      </c>
      <c r="AJ65"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2 - 4 weken</v>
      </c>
    </row>
    <row r="66" spans="2:36" ht="102" hidden="1" customHeight="1" x14ac:dyDescent="0.3">
      <c r="B66" s="100">
        <v>55</v>
      </c>
      <c r="C66" s="100"/>
      <c r="D66" s="52" t="s">
        <v>171</v>
      </c>
      <c r="E66" s="52" t="s">
        <v>172</v>
      </c>
      <c r="F66" s="52" t="s">
        <v>173</v>
      </c>
      <c r="G66" s="109" t="s">
        <v>174</v>
      </c>
      <c r="H66" s="42" t="s">
        <v>62</v>
      </c>
      <c r="I66" s="36" t="s">
        <v>63</v>
      </c>
      <c r="J66" s="36" t="s">
        <v>64</v>
      </c>
      <c r="K66" s="36" t="s">
        <v>7</v>
      </c>
      <c r="L66" s="39">
        <v>3</v>
      </c>
      <c r="M66" s="40">
        <v>7</v>
      </c>
      <c r="N66" s="40">
        <v>2</v>
      </c>
      <c r="O66" s="40">
        <v>0</v>
      </c>
      <c r="P66" s="40">
        <v>0</v>
      </c>
      <c r="Q66" s="40">
        <v>0</v>
      </c>
      <c r="R66" s="102">
        <f>IFERROR(Tabel2[[#This Row],[Kans]]*SUM(Tabel2[[#This Row],[Tijd]:[Omgeving]]),0)</f>
        <v>27</v>
      </c>
      <c r="S66" s="115"/>
      <c r="T66" s="116"/>
      <c r="U66" s="116"/>
      <c r="V66" s="105" t="s">
        <v>56</v>
      </c>
      <c r="W66" s="42"/>
      <c r="X66" s="48"/>
      <c r="Y66" s="50"/>
      <c r="Z66" s="39">
        <v>3</v>
      </c>
      <c r="AA66" s="40">
        <v>7</v>
      </c>
      <c r="AB66" s="40">
        <v>2</v>
      </c>
      <c r="AC66" s="40">
        <v>0</v>
      </c>
      <c r="AD66" s="40">
        <v>0</v>
      </c>
      <c r="AE66" s="40">
        <v>0</v>
      </c>
      <c r="AF66" s="102">
        <f>IFERROR(Tabel2[[#This Row],[Kans  ]]*SUM(Tabel2[[#This Row],[Tijd  ]:[Omgeving  ]]),0)</f>
        <v>27</v>
      </c>
      <c r="AG66" s="103">
        <f>VLOOKUP(Tabel2[[#This Row],[Kans  ]],KWANTIFICEERTABELLEN!$B$19:$J$26,8,FALSE())</f>
        <v>0.2</v>
      </c>
      <c r="AH66"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7500</v>
      </c>
      <c r="AI66" s="104">
        <f>IFERROR(Tabel2[[#This Row],[Kans   ]]*Tabel2[[#This Row],[Rekenwaarde kosten]],0)</f>
        <v>1500</v>
      </c>
      <c r="AJ66"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&gt; 2 maanden</v>
      </c>
    </row>
    <row r="67" spans="2:36" ht="102" customHeight="1" x14ac:dyDescent="0.3">
      <c r="B67" s="100">
        <v>71</v>
      </c>
      <c r="C67" s="135" t="s">
        <v>574</v>
      </c>
      <c r="D67" s="52" t="s">
        <v>205</v>
      </c>
      <c r="E67" s="52" t="s">
        <v>206</v>
      </c>
      <c r="F67" s="52" t="s">
        <v>207</v>
      </c>
      <c r="G67" s="109"/>
      <c r="H67" s="42" t="s">
        <v>76</v>
      </c>
      <c r="I67" s="36" t="s">
        <v>77</v>
      </c>
      <c r="J67" s="36" t="s">
        <v>55</v>
      </c>
      <c r="K67" s="36" t="s">
        <v>8</v>
      </c>
      <c r="L67" s="39"/>
      <c r="M67" s="40"/>
      <c r="N67" s="40"/>
      <c r="O67" s="40"/>
      <c r="P67" s="40"/>
      <c r="Q67" s="40"/>
      <c r="R67" s="102">
        <f>IFERROR(Tabel2[[#This Row],[Kans]]*SUM(Tabel2[[#This Row],[Tijd]:[Omgeving]]),0)</f>
        <v>0</v>
      </c>
      <c r="S67" s="103" t="e">
        <f>IF(F$2&lt;KWANTIFICEERTABELLEN!B$17,_xlfn.XLOOKUP(Tabel2[[#This Row],[Kans]],KWANTIFICEERTABELLEN!$B$6:$B$13,KWANTIFICEERTABELLEN!I$6:I$13,),
IF(AND(F$2&gt;KWANTIFICEERTABELLEN!B$17,$F$2&lt;KWANTIFICEERTABELLEN!B$30),_xlfn.XLOOKUP(Tabel2[[#This Row],[Kans]],KWANTIFICEERTABELLEN!$B$19:$B$26,KWANTIFICEERTABELLEN!I$19:I$26),
IF(F$2&gt;KWANTIFICEERTABELLEN!B$30,_xlfn.XLOOKUP(Tabel2[[#This Row],[Kans]],KWANTIFICEERTABELLEN!$B$32:$B$39,KWANTIFICEERTABELLEN!I$32:I$39))))</f>
        <v>#N/A</v>
      </c>
      <c r="T67" s="116"/>
      <c r="U67" s="116"/>
      <c r="V67" s="117" t="s">
        <v>208</v>
      </c>
      <c r="W67" s="42"/>
      <c r="X67" s="48"/>
      <c r="Y67" s="50"/>
      <c r="Z67" s="44">
        <v>2</v>
      </c>
      <c r="AA67" s="44">
        <v>5</v>
      </c>
      <c r="AB67" s="44">
        <v>5</v>
      </c>
      <c r="AC67" s="44">
        <v>4</v>
      </c>
      <c r="AD67" s="44">
        <v>5</v>
      </c>
      <c r="AE67" s="44">
        <v>4</v>
      </c>
      <c r="AF67" s="102">
        <f>IFERROR(Tabel2[[#This Row],[Kans  ]]*SUM(Tabel2[[#This Row],[Tijd  ]:[Omgeving  ]]),0)</f>
        <v>46</v>
      </c>
      <c r="AG67" s="103">
        <f>IF(F$2&lt;KWANTIFICEERTABELLEN!B$17,_xlfn.XLOOKUP(Tabel2[[#This Row],[Kans  ]],KWANTIFICEERTABELLEN!$B$6:$B$13,KWANTIFICEERTABELLEN!I$6:I$13,),
IF(AND(F$2&gt;KWANTIFICEERTABELLEN!B$17,$F$2&lt;KWANTIFICEERTABELLEN!B$30),_xlfn.XLOOKUP(Tabel2[[#This Row],[Kans  ]],KWANTIFICEERTABELLEN!$B$19:$B$26,KWANTIFICEERTABELLEN!I$19:I$26),
IF(F$2&gt;KWANTIFICEERTABELLEN!B$30,_xlfn.XLOOKUP(Tabel2[[#This Row],[Kans  ]],KWANTIFICEERTABELLEN!$B$32:$B$39,KWANTIFICEERTABELLEN!I$32:I$39))))</f>
        <v>0.1</v>
      </c>
      <c r="AH67" s="106">
        <f>IF(F$2&lt;KWANTIFICEERTABELLEN!B$17,_xlfn.XLOOKUP(Tabel2[[#This Row],[Geld  ]],KWANTIFICEERTABELLEN!$B$6:$B$13,KWANTIFICEERTABELLEN!J$6:J$13,),
IF(AND(F$2&gt;KWANTIFICEERTABELLEN!B$17,$F$2&lt;KWANTIFICEERTABELLEN!B$30),_xlfn.XLOOKUP(Tabel2[[#This Row],[Geld  ]],KWANTIFICEERTABELLEN!$B$19:$B$26,KWANTIFICEERTABELLEN!J$19:J$26),
IF(F$2&gt;KWANTIFICEERTABELLEN!B$30,_xlfn.XLOOKUP(Tabel2[[#This Row],[Geld  ]],KWANTIFICEERTABELLEN!$B$32:$B$39,KWANTIFICEERTABELLEN!J$32:J$39))))</f>
        <v>67500</v>
      </c>
      <c r="AI67" s="104">
        <f>IFERROR(Tabel2[[#This Row],[Kans   ]]*Tabel2[[#This Row],[Rekenwaarde kosten]],0)</f>
        <v>6750</v>
      </c>
      <c r="AJ67"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4 - 6 weken</v>
      </c>
    </row>
    <row r="68" spans="2:36" ht="38.25" customHeight="1" x14ac:dyDescent="0.3">
      <c r="B68" s="100">
        <v>79</v>
      </c>
      <c r="C68" s="135" t="s">
        <v>575</v>
      </c>
      <c r="D68" s="52" t="s">
        <v>209</v>
      </c>
      <c r="E68" s="52" t="s">
        <v>210</v>
      </c>
      <c r="F68" s="52" t="s">
        <v>211</v>
      </c>
      <c r="G68" s="109"/>
      <c r="H68" s="42" t="s">
        <v>76</v>
      </c>
      <c r="I68" s="36" t="s">
        <v>77</v>
      </c>
      <c r="J68" s="36" t="s">
        <v>55</v>
      </c>
      <c r="K68" s="36" t="s">
        <v>8</v>
      </c>
      <c r="L68" s="39"/>
      <c r="M68" s="40"/>
      <c r="N68" s="40"/>
      <c r="O68" s="40"/>
      <c r="P68" s="40"/>
      <c r="Q68" s="40"/>
      <c r="R68" s="102">
        <f>IFERROR(Tabel2[[#This Row],[Kans]]*SUM(Tabel2[[#This Row],[Tijd]:[Omgeving]]),0)</f>
        <v>0</v>
      </c>
      <c r="S68" s="103" t="e">
        <f>IF(F$2&lt;KWANTIFICEERTABELLEN!B$17,_xlfn.XLOOKUP(Tabel2[[#This Row],[Kans]],KWANTIFICEERTABELLEN!$B$6:$B$13,KWANTIFICEERTABELLEN!I$6:I$13,),
IF(AND(F$2&gt;KWANTIFICEERTABELLEN!B$17,$F$2&lt;KWANTIFICEERTABELLEN!B$30),_xlfn.XLOOKUP(Tabel2[[#This Row],[Kans]],KWANTIFICEERTABELLEN!$B$19:$B$26,KWANTIFICEERTABELLEN!I$19:I$26),
IF(F$2&gt;KWANTIFICEERTABELLEN!B$30,_xlfn.XLOOKUP(Tabel2[[#This Row],[Kans]],KWANTIFICEERTABELLEN!$B$32:$B$39,KWANTIFICEERTABELLEN!I$32:I$39))))</f>
        <v>#N/A</v>
      </c>
      <c r="T68" s="116"/>
      <c r="U68" s="116"/>
      <c r="V68" s="117" t="s">
        <v>208</v>
      </c>
      <c r="W68" s="42"/>
      <c r="X68" s="48"/>
      <c r="Y68" s="50"/>
      <c r="Z68" s="44">
        <v>2</v>
      </c>
      <c r="AA68" s="44">
        <v>5</v>
      </c>
      <c r="AB68" s="44">
        <v>5</v>
      </c>
      <c r="AC68" s="44">
        <v>4</v>
      </c>
      <c r="AD68" s="44">
        <v>5</v>
      </c>
      <c r="AE68" s="44">
        <v>4</v>
      </c>
      <c r="AF68" s="102">
        <f>IFERROR(Tabel2[[#This Row],[Kans  ]]*SUM(Tabel2[[#This Row],[Tijd  ]:[Omgeving  ]]),0)</f>
        <v>46</v>
      </c>
      <c r="AG68" s="103">
        <f>IF(F$2&lt;KWANTIFICEERTABELLEN!B$17,_xlfn.XLOOKUP(Tabel2[[#This Row],[Kans  ]],KWANTIFICEERTABELLEN!$B$6:$B$13,KWANTIFICEERTABELLEN!I$6:I$13,),
IF(AND(F$2&gt;KWANTIFICEERTABELLEN!B$17,$F$2&lt;KWANTIFICEERTABELLEN!B$30),_xlfn.XLOOKUP(Tabel2[[#This Row],[Kans  ]],KWANTIFICEERTABELLEN!$B$19:$B$26,KWANTIFICEERTABELLEN!I$19:I$26),
IF(F$2&gt;KWANTIFICEERTABELLEN!B$30,_xlfn.XLOOKUP(Tabel2[[#This Row],[Kans  ]],KWANTIFICEERTABELLEN!$B$32:$B$39,KWANTIFICEERTABELLEN!I$32:I$39))))</f>
        <v>0.1</v>
      </c>
      <c r="AH68" s="106">
        <f>IF(F$2&lt;KWANTIFICEERTABELLEN!B$17,_xlfn.XLOOKUP(Tabel2[[#This Row],[Geld  ]],KWANTIFICEERTABELLEN!$B$6:$B$13,KWANTIFICEERTABELLEN!J$6:J$13,),
IF(AND(F$2&gt;KWANTIFICEERTABELLEN!B$17,$F$2&lt;KWANTIFICEERTABELLEN!B$30),_xlfn.XLOOKUP(Tabel2[[#This Row],[Geld  ]],KWANTIFICEERTABELLEN!$B$19:$B$26,KWANTIFICEERTABELLEN!J$19:J$26),
IF(F$2&gt;KWANTIFICEERTABELLEN!B$30,_xlfn.XLOOKUP(Tabel2[[#This Row],[Geld  ]],KWANTIFICEERTABELLEN!$B$32:$B$39,KWANTIFICEERTABELLEN!J$32:J$39))))</f>
        <v>67500</v>
      </c>
      <c r="AI68" s="104">
        <f>IFERROR(Tabel2[[#This Row],[Kans   ]]*Tabel2[[#This Row],[Rekenwaarde kosten]],0)</f>
        <v>6750</v>
      </c>
      <c r="AJ68"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4 - 6 weken</v>
      </c>
    </row>
    <row r="69" spans="2:36" s="20" customFormat="1" ht="123" customHeight="1" x14ac:dyDescent="0.3">
      <c r="B69" s="100">
        <v>96</v>
      </c>
      <c r="C69" s="135" t="s">
        <v>575</v>
      </c>
      <c r="D69" s="52" t="s">
        <v>442</v>
      </c>
      <c r="E69" s="52" t="s">
        <v>443</v>
      </c>
      <c r="F69" s="52" t="s">
        <v>444</v>
      </c>
      <c r="G69" s="109" t="s">
        <v>431</v>
      </c>
      <c r="H69" s="42" t="s">
        <v>76</v>
      </c>
      <c r="I69" s="36" t="s">
        <v>77</v>
      </c>
      <c r="J69" s="36" t="s">
        <v>55</v>
      </c>
      <c r="K69" s="36" t="s">
        <v>8</v>
      </c>
      <c r="L69" s="39"/>
      <c r="M69" s="40"/>
      <c r="N69" s="40"/>
      <c r="O69" s="40"/>
      <c r="P69" s="40"/>
      <c r="Q69" s="40"/>
      <c r="R69" s="102">
        <f>IFERROR(Tabel2[[#This Row],[Kans]]*SUM(Tabel2[[#This Row],[Tijd]:[Omgeving]]),0)</f>
        <v>0</v>
      </c>
      <c r="S69" s="103" t="e">
        <f>IF(F$2&lt;KWANTIFICEERTABELLEN!B$17,_xlfn.XLOOKUP(Tabel2[[#This Row],[Kans]],KWANTIFICEERTABELLEN!$B$6:$B$13,KWANTIFICEERTABELLEN!I$6:I$13,),IF(AND(F$2&gt;KWANTIFICEERTABELLEN!B$17,$F$2&lt;KWANTIFICEERTABELLEN!B$30),_xlfn.XLOOKUP(Tabel2[[#This Row],[Kans]],KWANTIFICEERTABELLEN!$B$19:$B$26,KWANTIFICEERTABELLEN!I$19:I$26),IF(F$2&gt;KWANTIFICEERTABELLEN!B$30,_xlfn.XLOOKUP(Tabel2[[#This Row],[Kans]],KWANTIFICEERTABELLEN!$B$32:$B$39,KWANTIFICEERTABELLEN!I$32:I$39))))</f>
        <v>#N/A</v>
      </c>
      <c r="T69" s="116"/>
      <c r="U69" s="116">
        <f>IFERROR(Tabel2[[#This Row],[Kans ]]*Tabel2[[#This Row],[Geld ]],0)</f>
        <v>0</v>
      </c>
      <c r="V69" s="117" t="s">
        <v>445</v>
      </c>
      <c r="W69" s="42"/>
      <c r="X69" s="48"/>
      <c r="Y69" s="50"/>
      <c r="Z69" s="44">
        <v>3</v>
      </c>
      <c r="AA69" s="44">
        <v>3</v>
      </c>
      <c r="AB69" s="44">
        <v>3</v>
      </c>
      <c r="AC69" s="44">
        <v>3</v>
      </c>
      <c r="AD69" s="44">
        <v>3</v>
      </c>
      <c r="AE69" s="44">
        <v>3</v>
      </c>
      <c r="AF69" s="102">
        <f>IFERROR(Tabel2[[#This Row],[Kans  ]]*SUM(Tabel2[[#This Row],[Tijd  ]:[Omgeving  ]]),0)</f>
        <v>45</v>
      </c>
      <c r="AG69" s="103">
        <f>IF(F$2&lt;KWANTIFICEERTABELLEN!B$17,_xlfn.XLOOKUP(Tabel2[[#This Row],[Kans  ]],KWANTIFICEERTABELLEN!$B$6:$B$13,KWANTIFICEERTABELLEN!I$6:I$13,),IF(AND(F$2&gt;KWANTIFICEERTABELLEN!B$17,$F$2&lt;KWANTIFICEERTABELLEN!B$30),_xlfn.XLOOKUP(Tabel2[[#This Row],[Kans  ]],KWANTIFICEERTABELLEN!$B$19:$B$26,KWANTIFICEERTABELLEN!I$19:I$26),IF(F$2&gt;KWANTIFICEERTABELLEN!B$30,_xlfn.XLOOKUP(Tabel2[[#This Row],[Kans  ]],KWANTIFICEERTABELLEN!$B$32:$B$39,KWANTIFICEERTABELLEN!I$32:I$39))))</f>
        <v>0.2</v>
      </c>
      <c r="AH69" s="106">
        <f>IF(F$2&lt;KWANTIFICEERTABELLEN!B$17,_xlfn.XLOOKUP(Tabel2[[#This Row],[Geld  ]],KWANTIFICEERTABELLEN!$B$6:$B$13,KWANTIFICEERTABELLEN!J$6:J$13,),IF(AND(F$2&gt;KWANTIFICEERTABELLEN!B$17,$F$2&lt;KWANTIFICEERTABELLEN!B$30),_xlfn.XLOOKUP(Tabel2[[#This Row],[Geld  ]],KWANTIFICEERTABELLEN!$B$19:$B$26,KWANTIFICEERTABELLEN!J$19:J$26),IF(F$2&gt;KWANTIFICEERTABELLEN!B$30,_xlfn.XLOOKUP(Tabel2[[#This Row],[Geld  ]],KWANTIFICEERTABELLEN!$B$32:$B$39,KWANTIFICEERTABELLEN!J$32:J$39))))</f>
        <v>17500</v>
      </c>
      <c r="AI69" s="104">
        <f>IFERROR(Tabel2[[#This Row],[Kans   ]]*Tabel2[[#This Row],[Rekenwaarde kosten]],0)</f>
        <v>3500</v>
      </c>
      <c r="AJ69" s="107" t="str">
        <f>IF(F$2&lt;KWANTIFICEERTABELLEN!B$4,VLOOKUP(Tabel2[[#This Row],[Tijd  ]],KWANTIFICEERTABELLEN!$B$6:$D$13,3,FALSE()),IF(AND(F$2&gt;KWANTIFICEERTABELLEN!B$4,$F$2&lt;KWANTIFICEERTABELLEN!B$30),VLOOKUP(Tabel2[[#This Row],[Tijd  ]],KWANTIFICEERTABELLEN!$B$19:$D$26,3,FALSE()),IF(F$2&gt;KWANTIFICEERTABELLEN!B$30,VLOOKUP(Tabel2[[#This Row],[Tijd  ]],KWANTIFICEERTABELLEN!$B$32:$D$39,3,FALSE()),)))</f>
        <v>1 - 2 weken</v>
      </c>
    </row>
    <row r="70" spans="2:36" ht="127.5" customHeight="1" x14ac:dyDescent="0.3">
      <c r="B70" s="100">
        <v>8</v>
      </c>
      <c r="C70" s="135" t="s">
        <v>574</v>
      </c>
      <c r="D70" s="51" t="s">
        <v>216</v>
      </c>
      <c r="E70" s="51" t="s">
        <v>217</v>
      </c>
      <c r="F70" s="51" t="s">
        <v>218</v>
      </c>
      <c r="G70" s="101"/>
      <c r="H70" s="43" t="s">
        <v>82</v>
      </c>
      <c r="I70" s="36" t="s">
        <v>77</v>
      </c>
      <c r="J70" s="43" t="s">
        <v>55</v>
      </c>
      <c r="K70" s="43" t="s">
        <v>8</v>
      </c>
      <c r="L70" s="46"/>
      <c r="M70" s="44"/>
      <c r="N70" s="44"/>
      <c r="O70" s="44"/>
      <c r="P70" s="44"/>
      <c r="Q70" s="44"/>
      <c r="R70" s="102">
        <f>IFERROR(Tabel2[[#This Row],[Kans]]*SUM(Tabel2[[#This Row],[Tijd]:[Omgeving]]),0)</f>
        <v>0</v>
      </c>
      <c r="S70" s="103"/>
      <c r="T70" s="104"/>
      <c r="U70" s="104"/>
      <c r="V70" s="110" t="s">
        <v>219</v>
      </c>
      <c r="W70" s="47" t="s">
        <v>220</v>
      </c>
      <c r="X70" s="45" t="s">
        <v>221</v>
      </c>
      <c r="Y70" s="48"/>
      <c r="Z70" s="46">
        <v>3</v>
      </c>
      <c r="AA70" s="44">
        <v>4</v>
      </c>
      <c r="AB70" s="44">
        <v>4</v>
      </c>
      <c r="AC70" s="44">
        <v>2</v>
      </c>
      <c r="AD70" s="44">
        <v>2</v>
      </c>
      <c r="AE70" s="44">
        <v>2</v>
      </c>
      <c r="AF70" s="102">
        <f>IFERROR(Tabel2[[#This Row],[Kans  ]]*SUM(Tabel2[[#This Row],[Tijd  ]:[Omgeving  ]]),0)</f>
        <v>42</v>
      </c>
      <c r="AG70" s="103">
        <f>VLOOKUP(Tabel2[[#This Row],[Kans  ]],KWANTIFICEERTABELLEN!$B$19:$J$26,8,FALSE())</f>
        <v>0.2</v>
      </c>
      <c r="AH70"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37500</v>
      </c>
      <c r="AI70" s="104">
        <f>IFERROR(Tabel2[[#This Row],[Kans   ]]*Tabel2[[#This Row],[Rekenwaarde kosten]],0)</f>
        <v>7500</v>
      </c>
      <c r="AJ70"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2 - 4 weken</v>
      </c>
    </row>
    <row r="71" spans="2:36" ht="51" customHeight="1" x14ac:dyDescent="0.3">
      <c r="B71" s="100">
        <v>59</v>
      </c>
      <c r="C71" s="135" t="s">
        <v>575</v>
      </c>
      <c r="D71" s="52" t="s">
        <v>271</v>
      </c>
      <c r="E71" s="52" t="s">
        <v>272</v>
      </c>
      <c r="F71" s="52" t="s">
        <v>273</v>
      </c>
      <c r="G71" s="109"/>
      <c r="H71" s="42" t="s">
        <v>82</v>
      </c>
      <c r="I71" s="36" t="s">
        <v>214</v>
      </c>
      <c r="J71" s="36" t="s">
        <v>64</v>
      </c>
      <c r="K71" s="36" t="s">
        <v>7</v>
      </c>
      <c r="L71" s="39">
        <v>5</v>
      </c>
      <c r="M71" s="40">
        <v>4</v>
      </c>
      <c r="N71" s="40">
        <v>4</v>
      </c>
      <c r="O71" s="40">
        <v>3</v>
      </c>
      <c r="P71" s="40"/>
      <c r="Q71" s="40">
        <v>1</v>
      </c>
      <c r="R71" s="102">
        <f>IFERROR(Tabel2[[#This Row],[Kans]]*SUM(Tabel2[[#This Row],[Tijd]:[Omgeving]]),0)</f>
        <v>60</v>
      </c>
      <c r="S71" s="115"/>
      <c r="T71" s="116"/>
      <c r="U71" s="116"/>
      <c r="V71" s="117" t="s">
        <v>274</v>
      </c>
      <c r="W71" s="42"/>
      <c r="X71" s="48" t="s">
        <v>582</v>
      </c>
      <c r="Y71" s="50"/>
      <c r="Z71" s="44">
        <v>3</v>
      </c>
      <c r="AA71" s="44">
        <v>4</v>
      </c>
      <c r="AB71" s="44">
        <v>3</v>
      </c>
      <c r="AC71" s="44">
        <v>4</v>
      </c>
      <c r="AD71" s="44">
        <v>0</v>
      </c>
      <c r="AE71" s="44">
        <v>3</v>
      </c>
      <c r="AF71" s="102">
        <f>IFERROR(Tabel2[[#This Row],[Kans  ]]*SUM(Tabel2[[#This Row],[Tijd  ]:[Omgeving  ]]),0)</f>
        <v>42</v>
      </c>
      <c r="AG71" s="103">
        <f>VLOOKUP(Tabel2[[#This Row],[Kans  ]],KWANTIFICEERTABELLEN!$B$19:$J$26,8,FALSE())</f>
        <v>0.2</v>
      </c>
      <c r="AH71"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17500</v>
      </c>
      <c r="AI71" s="104">
        <f>IFERROR(Tabel2[[#This Row],[Kans   ]]*Tabel2[[#This Row],[Rekenwaarde kosten]],0)</f>
        <v>3500</v>
      </c>
      <c r="AJ71"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2 - 4 weken</v>
      </c>
    </row>
    <row r="72" spans="2:36" ht="127.5" hidden="1" customHeight="1" x14ac:dyDescent="0.3">
      <c r="B72" s="100">
        <v>60</v>
      </c>
      <c r="C72" s="100"/>
      <c r="D72" s="52" t="s">
        <v>181</v>
      </c>
      <c r="E72" s="52" t="s">
        <v>182</v>
      </c>
      <c r="F72" s="52" t="s">
        <v>183</v>
      </c>
      <c r="G72" s="109" t="s">
        <v>184</v>
      </c>
      <c r="H72" s="42" t="s">
        <v>62</v>
      </c>
      <c r="I72" s="36" t="s">
        <v>63</v>
      </c>
      <c r="J72" s="36" t="s">
        <v>64</v>
      </c>
      <c r="K72" s="36" t="s">
        <v>7</v>
      </c>
      <c r="L72" s="39">
        <v>5</v>
      </c>
      <c r="M72" s="40">
        <v>7</v>
      </c>
      <c r="N72" s="40">
        <v>5</v>
      </c>
      <c r="O72" s="40">
        <v>1</v>
      </c>
      <c r="P72" s="40">
        <v>0</v>
      </c>
      <c r="Q72" s="40">
        <v>4</v>
      </c>
      <c r="R72" s="102">
        <f>IFERROR(Tabel2[[#This Row],[Kans]]*SUM(Tabel2[[#This Row],[Tijd]:[Omgeving]]),0)</f>
        <v>85</v>
      </c>
      <c r="S72" s="115"/>
      <c r="T72" s="116"/>
      <c r="U72" s="116"/>
      <c r="V72" s="117" t="s">
        <v>185</v>
      </c>
      <c r="W72" s="42" t="s">
        <v>186</v>
      </c>
      <c r="X72" s="48" t="s">
        <v>187</v>
      </c>
      <c r="Y72" s="50"/>
      <c r="Z72" s="39">
        <v>1</v>
      </c>
      <c r="AA72" s="40">
        <v>7</v>
      </c>
      <c r="AB72" s="40">
        <v>7</v>
      </c>
      <c r="AC72" s="40">
        <v>1</v>
      </c>
      <c r="AD72" s="40">
        <v>0</v>
      </c>
      <c r="AE72" s="40">
        <v>2</v>
      </c>
      <c r="AF72" s="102">
        <f>IFERROR(Tabel2[[#This Row],[Kans  ]]*SUM(Tabel2[[#This Row],[Tijd  ]:[Omgeving  ]]),0)</f>
        <v>17</v>
      </c>
      <c r="AG72" s="103">
        <f>VLOOKUP(Tabel2[[#This Row],[Kans  ]],KWANTIFICEERTABELLEN!$B$19:$J$26,8,FALSE())</f>
        <v>0.05</v>
      </c>
      <c r="AH72"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100000</v>
      </c>
      <c r="AI72" s="104">
        <f>IFERROR(Tabel2[[#This Row],[Kans   ]]*Tabel2[[#This Row],[Rekenwaarde kosten]],0)</f>
        <v>5000</v>
      </c>
      <c r="AJ72"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&gt; 2 maanden</v>
      </c>
    </row>
    <row r="73" spans="2:36" ht="114.75" customHeight="1" x14ac:dyDescent="0.3">
      <c r="B73" s="100">
        <v>17</v>
      </c>
      <c r="C73" s="135" t="s">
        <v>575</v>
      </c>
      <c r="D73" s="51" t="s">
        <v>581</v>
      </c>
      <c r="E73" s="51" t="s">
        <v>212</v>
      </c>
      <c r="F73" s="51" t="s">
        <v>213</v>
      </c>
      <c r="G73" s="101"/>
      <c r="H73" s="43" t="s">
        <v>82</v>
      </c>
      <c r="I73" s="36" t="s">
        <v>214</v>
      </c>
      <c r="J73" s="43" t="s">
        <v>55</v>
      </c>
      <c r="K73" s="43" t="s">
        <v>8</v>
      </c>
      <c r="L73" s="46"/>
      <c r="M73" s="44"/>
      <c r="N73" s="44"/>
      <c r="O73" s="44"/>
      <c r="P73" s="44"/>
      <c r="Q73" s="44"/>
      <c r="R73" s="102">
        <f>IFERROR(Tabel2[[#This Row],[Kans]]*SUM(Tabel2[[#This Row],[Tijd]:[Omgeving]]),0)</f>
        <v>0</v>
      </c>
      <c r="S73" s="103"/>
      <c r="T73" s="104"/>
      <c r="U73" s="104"/>
      <c r="V73" s="105" t="s">
        <v>215</v>
      </c>
      <c r="W73" s="47" t="s">
        <v>580</v>
      </c>
      <c r="X73" s="45" t="s">
        <v>579</v>
      </c>
      <c r="Y73" s="138" t="s">
        <v>587</v>
      </c>
      <c r="Z73" s="46">
        <v>3</v>
      </c>
      <c r="AA73" s="44">
        <v>7</v>
      </c>
      <c r="AB73" s="44">
        <v>3</v>
      </c>
      <c r="AC73" s="44">
        <v>0</v>
      </c>
      <c r="AD73" s="44">
        <v>0</v>
      </c>
      <c r="AE73" s="44">
        <v>3</v>
      </c>
      <c r="AF73" s="102">
        <f>IFERROR(Tabel2[[#This Row],[Kans  ]]*SUM(Tabel2[[#This Row],[Tijd  ]:[Omgeving  ]]),0)</f>
        <v>39</v>
      </c>
      <c r="AG73" s="103">
        <f>VLOOKUP(Tabel2[[#This Row],[Kans  ]],KWANTIFICEERTABELLEN!$B$19:$J$26,8,FALSE())</f>
        <v>0.2</v>
      </c>
      <c r="AH73"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17500</v>
      </c>
      <c r="AI73" s="104">
        <f>IFERROR(Tabel2[[#This Row],[Kans   ]]*Tabel2[[#This Row],[Rekenwaarde kosten]],0)</f>
        <v>3500</v>
      </c>
      <c r="AJ73"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&gt; 2 maanden</v>
      </c>
    </row>
    <row r="74" spans="2:36" ht="114.75" customHeight="1" x14ac:dyDescent="0.3">
      <c r="B74" s="100">
        <v>95</v>
      </c>
      <c r="C74" s="135" t="s">
        <v>574</v>
      </c>
      <c r="D74" s="52" t="s">
        <v>437</v>
      </c>
      <c r="E74" s="52" t="s">
        <v>438</v>
      </c>
      <c r="F74" s="52" t="s">
        <v>439</v>
      </c>
      <c r="G74" s="109" t="s">
        <v>440</v>
      </c>
      <c r="H74" s="42" t="s">
        <v>76</v>
      </c>
      <c r="I74" s="36" t="s">
        <v>77</v>
      </c>
      <c r="J74" s="36" t="s">
        <v>55</v>
      </c>
      <c r="K74" s="36" t="s">
        <v>8</v>
      </c>
      <c r="L74" s="39"/>
      <c r="M74" s="40"/>
      <c r="N74" s="40"/>
      <c r="O74" s="40"/>
      <c r="P74" s="40"/>
      <c r="Q74" s="40"/>
      <c r="R74" s="102">
        <f>IFERROR(Tabel2[[#This Row],[Kans]]*SUM(Tabel2[[#This Row],[Tijd]:[Omgeving]]),0)</f>
        <v>0</v>
      </c>
      <c r="S74" s="103" t="e">
        <f>IF(F$2&lt;KWANTIFICEERTABELLEN!B$17,_xlfn.XLOOKUP(Tabel2[[#This Row],[Kans]],KWANTIFICEERTABELLEN!$B$6:$B$13,KWANTIFICEERTABELLEN!I$6:I$13,),IF(AND(F$2&gt;KWANTIFICEERTABELLEN!B$17,$F$2&lt;KWANTIFICEERTABELLEN!B$30),_xlfn.XLOOKUP(Tabel2[[#This Row],[Kans]],KWANTIFICEERTABELLEN!$B$19:$B$26,KWANTIFICEERTABELLEN!I$19:I$26),IF(F$2&gt;KWANTIFICEERTABELLEN!B$30,_xlfn.XLOOKUP(Tabel2[[#This Row],[Kans]],KWANTIFICEERTABELLEN!$B$32:$B$39,KWANTIFICEERTABELLEN!I$32:I$39))))</f>
        <v>#N/A</v>
      </c>
      <c r="T74" s="116"/>
      <c r="U74" s="116">
        <f>IFERROR(Tabel2[[#This Row],[Kans ]]*Tabel2[[#This Row],[Geld ]],0)</f>
        <v>0</v>
      </c>
      <c r="V74" s="117" t="s">
        <v>441</v>
      </c>
      <c r="W74" s="42"/>
      <c r="X74" s="48"/>
      <c r="Y74" s="50"/>
      <c r="Z74" s="44">
        <v>3</v>
      </c>
      <c r="AA74" s="44">
        <v>3</v>
      </c>
      <c r="AB74" s="44">
        <v>4</v>
      </c>
      <c r="AC74" s="44">
        <v>3</v>
      </c>
      <c r="AD74" s="44">
        <v>1</v>
      </c>
      <c r="AE74" s="44">
        <v>2</v>
      </c>
      <c r="AF74" s="102">
        <f>IFERROR(Tabel2[[#This Row],[Kans  ]]*SUM(Tabel2[[#This Row],[Tijd  ]:[Omgeving  ]]),0)</f>
        <v>39</v>
      </c>
      <c r="AG74" s="103">
        <f>IF(F$2&lt;KWANTIFICEERTABELLEN!B$17,_xlfn.XLOOKUP(Tabel2[[#This Row],[Kans  ]],KWANTIFICEERTABELLEN!$B$6:$B$13,KWANTIFICEERTABELLEN!I$6:I$13,),IF(AND(F$2&gt;KWANTIFICEERTABELLEN!B$17,$F$2&lt;KWANTIFICEERTABELLEN!B$30),_xlfn.XLOOKUP(Tabel2[[#This Row],[Kans  ]],KWANTIFICEERTABELLEN!$B$19:$B$26,KWANTIFICEERTABELLEN!I$19:I$26),IF(F$2&gt;KWANTIFICEERTABELLEN!B$30,_xlfn.XLOOKUP(Tabel2[[#This Row],[Kans  ]],KWANTIFICEERTABELLEN!$B$32:$B$39,KWANTIFICEERTABELLEN!I$32:I$39))))</f>
        <v>0.2</v>
      </c>
      <c r="AH74" s="106">
        <f>IF(F$2&lt;KWANTIFICEERTABELLEN!B$17,_xlfn.XLOOKUP(Tabel2[[#This Row],[Geld  ]],KWANTIFICEERTABELLEN!$B$6:$B$13,KWANTIFICEERTABELLEN!J$6:J$13,),IF(AND(F$2&gt;KWANTIFICEERTABELLEN!B$17,$F$2&lt;KWANTIFICEERTABELLEN!B$30),_xlfn.XLOOKUP(Tabel2[[#This Row],[Geld  ]],KWANTIFICEERTABELLEN!$B$19:$B$26,KWANTIFICEERTABELLEN!J$19:J$26),IF(F$2&gt;KWANTIFICEERTABELLEN!B$30,_xlfn.XLOOKUP(Tabel2[[#This Row],[Geld  ]],KWANTIFICEERTABELLEN!$B$32:$B$39,KWANTIFICEERTABELLEN!J$32:J$39))))</f>
        <v>37500</v>
      </c>
      <c r="AI74" s="104">
        <f>IFERROR(Tabel2[[#This Row],[Kans   ]]*Tabel2[[#This Row],[Rekenwaarde kosten]],0)</f>
        <v>7500</v>
      </c>
      <c r="AJ74" s="107" t="str">
        <f>IF(F$2&lt;KWANTIFICEERTABELLEN!B$4,VLOOKUP(Tabel2[[#This Row],[Tijd  ]],KWANTIFICEERTABELLEN!$B$6:$D$13,3,FALSE()),IF(AND(F$2&gt;KWANTIFICEERTABELLEN!B$4,$F$2&lt;KWANTIFICEERTABELLEN!B$30),VLOOKUP(Tabel2[[#This Row],[Tijd  ]],KWANTIFICEERTABELLEN!$B$19:$D$26,3,FALSE()),IF(F$2&gt;KWANTIFICEERTABELLEN!B$30,VLOOKUP(Tabel2[[#This Row],[Tijd  ]],KWANTIFICEERTABELLEN!$B$32:$D$39,3,FALSE()),)))</f>
        <v>1 - 2 weken</v>
      </c>
    </row>
    <row r="75" spans="2:36" ht="114.75" customHeight="1" x14ac:dyDescent="0.3">
      <c r="B75" s="100">
        <v>19</v>
      </c>
      <c r="C75" s="135" t="s">
        <v>575</v>
      </c>
      <c r="D75" s="51" t="s">
        <v>222</v>
      </c>
      <c r="E75" s="51" t="s">
        <v>223</v>
      </c>
      <c r="F75" s="51" t="s">
        <v>224</v>
      </c>
      <c r="G75" s="101"/>
      <c r="H75" s="42" t="s">
        <v>82</v>
      </c>
      <c r="I75" s="36" t="s">
        <v>63</v>
      </c>
      <c r="J75" s="43" t="s">
        <v>55</v>
      </c>
      <c r="K75" s="43" t="s">
        <v>8</v>
      </c>
      <c r="L75" s="46"/>
      <c r="M75" s="44"/>
      <c r="N75" s="44"/>
      <c r="O75" s="44"/>
      <c r="P75" s="44"/>
      <c r="Q75" s="44"/>
      <c r="R75" s="102">
        <f>IFERROR(Tabel2[[#This Row],[Kans]]*SUM(Tabel2[[#This Row],[Tijd]:[Omgeving]]),0)</f>
        <v>0</v>
      </c>
      <c r="S75" s="103"/>
      <c r="T75" s="104"/>
      <c r="U75" s="104"/>
      <c r="V75" s="105" t="s">
        <v>225</v>
      </c>
      <c r="W75" s="112"/>
      <c r="X75" s="45"/>
      <c r="Y75" s="48"/>
      <c r="Z75" s="46">
        <v>4</v>
      </c>
      <c r="AA75" s="44">
        <v>5</v>
      </c>
      <c r="AB75" s="44">
        <v>3</v>
      </c>
      <c r="AC75" s="44">
        <v>1</v>
      </c>
      <c r="AD75" s="44">
        <v>0</v>
      </c>
      <c r="AE75" s="44">
        <v>0</v>
      </c>
      <c r="AF75" s="102">
        <f>IFERROR(Tabel2[[#This Row],[Kans  ]]*SUM(Tabel2[[#This Row],[Tijd  ]:[Omgeving  ]]),0)</f>
        <v>36</v>
      </c>
      <c r="AG75" s="103">
        <f>VLOOKUP(Tabel2[[#This Row],[Kans  ]],KWANTIFICEERTABELLEN!$B$19:$J$26,8,FALSE())</f>
        <v>0.3</v>
      </c>
      <c r="AH75"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17500</v>
      </c>
      <c r="AI75" s="104">
        <f>IFERROR(Tabel2[[#This Row],[Kans   ]]*Tabel2[[#This Row],[Rekenwaarde kosten]],0)</f>
        <v>5250</v>
      </c>
      <c r="AJ75"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4 - 6 weken</v>
      </c>
    </row>
    <row r="76" spans="2:36" ht="114.75" customHeight="1" x14ac:dyDescent="0.3">
      <c r="B76" s="100">
        <v>73</v>
      </c>
      <c r="C76" s="135" t="s">
        <v>575</v>
      </c>
      <c r="D76" s="52" t="s">
        <v>226</v>
      </c>
      <c r="E76" s="52" t="s">
        <v>227</v>
      </c>
      <c r="F76" s="52" t="s">
        <v>228</v>
      </c>
      <c r="G76" s="109"/>
      <c r="H76" s="42" t="s">
        <v>76</v>
      </c>
      <c r="I76" s="36" t="s">
        <v>77</v>
      </c>
      <c r="J76" s="36" t="s">
        <v>64</v>
      </c>
      <c r="K76" s="36" t="s">
        <v>8</v>
      </c>
      <c r="L76" s="39"/>
      <c r="M76" s="40"/>
      <c r="N76" s="40"/>
      <c r="O76" s="40"/>
      <c r="P76" s="40"/>
      <c r="Q76" s="40"/>
      <c r="R76" s="102">
        <f>IFERROR(Tabel2[[#This Row],[Kans]]*SUM(Tabel2[[#This Row],[Tijd]:[Omgeving]]),0)</f>
        <v>0</v>
      </c>
      <c r="S76" s="103" t="e">
        <f>IF(F$2&lt;KWANTIFICEERTABELLEN!B$17,_xlfn.XLOOKUP(Tabel2[[#This Row],[Kans]],KWANTIFICEERTABELLEN!$B$6:$B$13,KWANTIFICEERTABELLEN!I$6:I$13,),
IF(AND(F$2&gt;KWANTIFICEERTABELLEN!B$17,$F$2&lt;KWANTIFICEERTABELLEN!B$30),_xlfn.XLOOKUP(Tabel2[[#This Row],[Kans]],KWANTIFICEERTABELLEN!$B$19:$B$26,KWANTIFICEERTABELLEN!I$19:I$26),
IF(F$2&gt;KWANTIFICEERTABELLEN!B$30,_xlfn.XLOOKUP(Tabel2[[#This Row],[Kans]],KWANTIFICEERTABELLEN!$B$32:$B$39,KWANTIFICEERTABELLEN!I$32:I$39))))</f>
        <v>#N/A</v>
      </c>
      <c r="T76" s="116"/>
      <c r="U76" s="116"/>
      <c r="V76" s="117" t="s">
        <v>229</v>
      </c>
      <c r="W76" s="42"/>
      <c r="X76" s="48"/>
      <c r="Y76" s="50"/>
      <c r="Z76" s="44">
        <v>3</v>
      </c>
      <c r="AA76" s="44">
        <v>4</v>
      </c>
      <c r="AB76" s="44">
        <v>3</v>
      </c>
      <c r="AC76" s="44">
        <v>2</v>
      </c>
      <c r="AD76" s="44">
        <v>2</v>
      </c>
      <c r="AE76" s="44">
        <v>1</v>
      </c>
      <c r="AF76" s="102">
        <f>IFERROR(Tabel2[[#This Row],[Kans  ]]*SUM(Tabel2[[#This Row],[Tijd  ]:[Omgeving  ]]),0)</f>
        <v>36</v>
      </c>
      <c r="AG76" s="103">
        <f>IF(F$2&lt;KWANTIFICEERTABELLEN!B$17,_xlfn.XLOOKUP(Tabel2[[#This Row],[Kans  ]],KWANTIFICEERTABELLEN!$B$6:$B$13,KWANTIFICEERTABELLEN!I$6:I$13,),
IF(AND(F$2&gt;KWANTIFICEERTABELLEN!B$17,$F$2&lt;KWANTIFICEERTABELLEN!B$30),_xlfn.XLOOKUP(Tabel2[[#This Row],[Kans  ]],KWANTIFICEERTABELLEN!$B$19:$B$26,KWANTIFICEERTABELLEN!I$19:I$26),
IF(F$2&gt;KWANTIFICEERTABELLEN!B$30,_xlfn.XLOOKUP(Tabel2[[#This Row],[Kans  ]],KWANTIFICEERTABELLEN!$B$32:$B$39,KWANTIFICEERTABELLEN!I$32:I$39))))</f>
        <v>0.2</v>
      </c>
      <c r="AH76" s="106">
        <f>IF(F$2&lt;KWANTIFICEERTABELLEN!B$17,_xlfn.XLOOKUP(Tabel2[[#This Row],[Geld  ]],KWANTIFICEERTABELLEN!$B$6:$B$13,KWANTIFICEERTABELLEN!J$6:J$13,),
IF(AND(F$2&gt;KWANTIFICEERTABELLEN!B$17,$F$2&lt;KWANTIFICEERTABELLEN!B$30),_xlfn.XLOOKUP(Tabel2[[#This Row],[Geld  ]],KWANTIFICEERTABELLEN!$B$19:$B$26,KWANTIFICEERTABELLEN!J$19:J$26),
IF(F$2&gt;KWANTIFICEERTABELLEN!B$30,_xlfn.XLOOKUP(Tabel2[[#This Row],[Geld  ]],KWANTIFICEERTABELLEN!$B$32:$B$39,KWANTIFICEERTABELLEN!J$32:J$39))))</f>
        <v>17500</v>
      </c>
      <c r="AI76" s="104">
        <f>IFERROR(Tabel2[[#This Row],[Kans   ]]*Tabel2[[#This Row],[Rekenwaarde kosten]],0)</f>
        <v>3500</v>
      </c>
      <c r="AJ76"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2 - 4 weken</v>
      </c>
    </row>
    <row r="77" spans="2:36" ht="102" customHeight="1" x14ac:dyDescent="0.3">
      <c r="B77" s="100">
        <v>97</v>
      </c>
      <c r="C77" s="135" t="s">
        <v>575</v>
      </c>
      <c r="D77" s="52" t="s">
        <v>446</v>
      </c>
      <c r="E77" s="52" t="s">
        <v>447</v>
      </c>
      <c r="F77" s="52" t="s">
        <v>448</v>
      </c>
      <c r="G77" s="109" t="s">
        <v>449</v>
      </c>
      <c r="H77" s="42" t="s">
        <v>76</v>
      </c>
      <c r="I77" s="36" t="s">
        <v>77</v>
      </c>
      <c r="J77" s="36" t="s">
        <v>64</v>
      </c>
      <c r="K77" s="36" t="s">
        <v>8</v>
      </c>
      <c r="L77" s="39"/>
      <c r="M77" s="40"/>
      <c r="N77" s="40"/>
      <c r="O77" s="40"/>
      <c r="P77" s="40"/>
      <c r="Q77" s="40"/>
      <c r="R77" s="102">
        <f>IFERROR(Tabel2[[#This Row],[Kans]]*SUM(Tabel2[[#This Row],[Tijd]:[Omgeving]]),0)</f>
        <v>0</v>
      </c>
      <c r="S77" s="103" t="e">
        <f>IF(F$2&lt;KWANTIFICEERTABELLEN!B$17,_xlfn.XLOOKUP(Tabel2[[#This Row],[Kans]],KWANTIFICEERTABELLEN!$B$6:$B$13,KWANTIFICEERTABELLEN!I$6:I$13,),IF(AND(F$2&gt;KWANTIFICEERTABELLEN!B$17,$F$2&lt;KWANTIFICEERTABELLEN!B$30),_xlfn.XLOOKUP(Tabel2[[#This Row],[Kans]],KWANTIFICEERTABELLEN!$B$19:$B$26,KWANTIFICEERTABELLEN!I$19:I$26),IF(F$2&gt;KWANTIFICEERTABELLEN!B$30,_xlfn.XLOOKUP(Tabel2[[#This Row],[Kans]],KWANTIFICEERTABELLEN!$B$32:$B$39,KWANTIFICEERTABELLEN!I$32:I$39))))</f>
        <v>#N/A</v>
      </c>
      <c r="T77" s="116"/>
      <c r="U77" s="116">
        <f>IFERROR(Tabel2[[#This Row],[Kans ]]*Tabel2[[#This Row],[Geld ]],0)</f>
        <v>0</v>
      </c>
      <c r="V77" s="117" t="s">
        <v>450</v>
      </c>
      <c r="W77" s="42"/>
      <c r="X77" s="48"/>
      <c r="Y77" s="50"/>
      <c r="Z77" s="44">
        <v>3</v>
      </c>
      <c r="AA77" s="44">
        <v>4</v>
      </c>
      <c r="AB77" s="44">
        <v>3</v>
      </c>
      <c r="AC77" s="44">
        <v>1</v>
      </c>
      <c r="AD77" s="44">
        <v>1</v>
      </c>
      <c r="AE77" s="44">
        <v>3</v>
      </c>
      <c r="AF77" s="102">
        <f>IFERROR(Tabel2[[#This Row],[Kans  ]]*SUM(Tabel2[[#This Row],[Tijd  ]:[Omgeving  ]]),0)</f>
        <v>36</v>
      </c>
      <c r="AG77" s="103">
        <f>IF(F$2&lt;KWANTIFICEERTABELLEN!B$17,_xlfn.XLOOKUP(Tabel2[[#This Row],[Kans  ]],KWANTIFICEERTABELLEN!$B$6:$B$13,KWANTIFICEERTABELLEN!I$6:I$13,),IF(AND(F$2&gt;KWANTIFICEERTABELLEN!B$17,$F$2&lt;KWANTIFICEERTABELLEN!B$30),_xlfn.XLOOKUP(Tabel2[[#This Row],[Kans  ]],KWANTIFICEERTABELLEN!$B$19:$B$26,KWANTIFICEERTABELLEN!I$19:I$26),IF(F$2&gt;KWANTIFICEERTABELLEN!B$30,_xlfn.XLOOKUP(Tabel2[[#This Row],[Kans  ]],KWANTIFICEERTABELLEN!$B$32:$B$39,KWANTIFICEERTABELLEN!I$32:I$39))))</f>
        <v>0.2</v>
      </c>
      <c r="AH77" s="106">
        <f>IF(F$2&lt;KWANTIFICEERTABELLEN!B$17,_xlfn.XLOOKUP(Tabel2[[#This Row],[Geld  ]],KWANTIFICEERTABELLEN!$B$6:$B$13,KWANTIFICEERTABELLEN!J$6:J$13,),IF(AND(F$2&gt;KWANTIFICEERTABELLEN!B$17,$F$2&lt;KWANTIFICEERTABELLEN!B$30),_xlfn.XLOOKUP(Tabel2[[#This Row],[Geld  ]],KWANTIFICEERTABELLEN!$B$19:$B$26,KWANTIFICEERTABELLEN!J$19:J$26),IF(F$2&gt;KWANTIFICEERTABELLEN!B$30,_xlfn.XLOOKUP(Tabel2[[#This Row],[Geld  ]],KWANTIFICEERTABELLEN!$B$32:$B$39,KWANTIFICEERTABELLEN!J$32:J$39))))</f>
        <v>17500</v>
      </c>
      <c r="AI77" s="104">
        <f>IFERROR(Tabel2[[#This Row],[Kans   ]]*Tabel2[[#This Row],[Rekenwaarde kosten]],0)</f>
        <v>3500</v>
      </c>
      <c r="AJ77" s="107" t="str">
        <f>IF(F$2&lt;KWANTIFICEERTABELLEN!B$4,VLOOKUP(Tabel2[[#This Row],[Tijd  ]],KWANTIFICEERTABELLEN!$B$6:$D$13,3,FALSE()),IF(AND(F$2&gt;KWANTIFICEERTABELLEN!B$4,$F$2&lt;KWANTIFICEERTABELLEN!B$30),VLOOKUP(Tabel2[[#This Row],[Tijd  ]],KWANTIFICEERTABELLEN!$B$19:$D$26,3,FALSE()),IF(F$2&gt;KWANTIFICEERTABELLEN!B$30,VLOOKUP(Tabel2[[#This Row],[Tijd  ]],KWANTIFICEERTABELLEN!$B$32:$D$39,3,FALSE()),)))</f>
        <v>2 - 4 weken</v>
      </c>
    </row>
    <row r="78" spans="2:36" ht="76.5" customHeight="1" x14ac:dyDescent="0.3">
      <c r="B78" s="100">
        <v>99</v>
      </c>
      <c r="C78" s="135" t="s">
        <v>575</v>
      </c>
      <c r="D78" s="52" t="s">
        <v>455</v>
      </c>
      <c r="E78" s="52" t="s">
        <v>456</v>
      </c>
      <c r="F78" s="52" t="s">
        <v>457</v>
      </c>
      <c r="G78" s="109" t="s">
        <v>431</v>
      </c>
      <c r="H78" s="42" t="s">
        <v>76</v>
      </c>
      <c r="I78" s="36" t="s">
        <v>77</v>
      </c>
      <c r="J78" s="36" t="s">
        <v>55</v>
      </c>
      <c r="K78" s="36" t="s">
        <v>8</v>
      </c>
      <c r="L78" s="39"/>
      <c r="M78" s="40"/>
      <c r="N78" s="40"/>
      <c r="O78" s="40"/>
      <c r="P78" s="40"/>
      <c r="Q78" s="40"/>
      <c r="R78" s="102">
        <f>IFERROR(Tabel2[[#This Row],[Kans]]*SUM(Tabel2[[#This Row],[Tijd]:[Omgeving]]),0)</f>
        <v>0</v>
      </c>
      <c r="S78" s="103" t="e">
        <f>IF(F$2&lt;KWANTIFICEERTABELLEN!B$17,_xlfn.XLOOKUP(Tabel2[[#This Row],[Kans]],KWANTIFICEERTABELLEN!$B$6:$B$13,KWANTIFICEERTABELLEN!I$6:I$13,),IF(AND(F$2&gt;KWANTIFICEERTABELLEN!B$17,$F$2&lt;KWANTIFICEERTABELLEN!B$30),_xlfn.XLOOKUP(Tabel2[[#This Row],[Kans]],KWANTIFICEERTABELLEN!$B$19:$B$26,KWANTIFICEERTABELLEN!I$19:I$26),IF(F$2&gt;KWANTIFICEERTABELLEN!B$30,_xlfn.XLOOKUP(Tabel2[[#This Row],[Kans]],KWANTIFICEERTABELLEN!$B$32:$B$39,KWANTIFICEERTABELLEN!I$32:I$39))))</f>
        <v>#N/A</v>
      </c>
      <c r="T78" s="116"/>
      <c r="U78" s="116">
        <f>IFERROR(Tabel2[[#This Row],[Kans ]]*Tabel2[[#This Row],[Geld ]],0)</f>
        <v>0</v>
      </c>
      <c r="V78" s="117" t="s">
        <v>458</v>
      </c>
      <c r="W78" s="42"/>
      <c r="X78" s="48"/>
      <c r="Y78" s="50"/>
      <c r="Z78" s="44">
        <v>3</v>
      </c>
      <c r="AA78" s="44">
        <v>3</v>
      </c>
      <c r="AB78" s="44">
        <v>4</v>
      </c>
      <c r="AC78" s="44">
        <v>2</v>
      </c>
      <c r="AD78" s="44">
        <v>2</v>
      </c>
      <c r="AE78" s="44">
        <v>1</v>
      </c>
      <c r="AF78" s="102">
        <f>IFERROR(Tabel2[[#This Row],[Kans  ]]*SUM(Tabel2[[#This Row],[Tijd  ]:[Omgeving  ]]),0)</f>
        <v>36</v>
      </c>
      <c r="AG78" s="103">
        <f>IF(F$2&lt;KWANTIFICEERTABELLEN!B$17,_xlfn.XLOOKUP(Tabel2[[#This Row],[Kans  ]],KWANTIFICEERTABELLEN!$B$6:$B$13,KWANTIFICEERTABELLEN!I$6:I$13,),IF(AND(F$2&gt;KWANTIFICEERTABELLEN!B$17,$F$2&lt;KWANTIFICEERTABELLEN!B$30),_xlfn.XLOOKUP(Tabel2[[#This Row],[Kans  ]],KWANTIFICEERTABELLEN!$B$19:$B$26,KWANTIFICEERTABELLEN!I$19:I$26),IF(F$2&gt;KWANTIFICEERTABELLEN!B$30,_xlfn.XLOOKUP(Tabel2[[#This Row],[Kans  ]],KWANTIFICEERTABELLEN!$B$32:$B$39,KWANTIFICEERTABELLEN!I$32:I$39))))</f>
        <v>0.2</v>
      </c>
      <c r="AH78" s="106">
        <f>IF(F$2&lt;KWANTIFICEERTABELLEN!B$17,_xlfn.XLOOKUP(Tabel2[[#This Row],[Geld  ]],KWANTIFICEERTABELLEN!$B$6:$B$13,KWANTIFICEERTABELLEN!J$6:J$13,),IF(AND(F$2&gt;KWANTIFICEERTABELLEN!B$17,$F$2&lt;KWANTIFICEERTABELLEN!B$30),_xlfn.XLOOKUP(Tabel2[[#This Row],[Geld  ]],KWANTIFICEERTABELLEN!$B$19:$B$26,KWANTIFICEERTABELLEN!J$19:J$26),IF(F$2&gt;KWANTIFICEERTABELLEN!B$30,_xlfn.XLOOKUP(Tabel2[[#This Row],[Geld  ]],KWANTIFICEERTABELLEN!$B$32:$B$39,KWANTIFICEERTABELLEN!J$32:J$39))))</f>
        <v>37500</v>
      </c>
      <c r="AI78" s="104">
        <f>IFERROR(Tabel2[[#This Row],[Kans   ]]*Tabel2[[#This Row],[Rekenwaarde kosten]],0)</f>
        <v>7500</v>
      </c>
      <c r="AJ78" s="107" t="str">
        <f>IF(F$2&lt;KWANTIFICEERTABELLEN!B$4,VLOOKUP(Tabel2[[#This Row],[Tijd  ]],KWANTIFICEERTABELLEN!$B$6:$D$13,3,FALSE()),IF(AND(F$2&gt;KWANTIFICEERTABELLEN!B$4,$F$2&lt;KWANTIFICEERTABELLEN!B$30),VLOOKUP(Tabel2[[#This Row],[Tijd  ]],KWANTIFICEERTABELLEN!$B$19:$D$26,3,FALSE()),IF(F$2&gt;KWANTIFICEERTABELLEN!B$30,VLOOKUP(Tabel2[[#This Row],[Tijd  ]],KWANTIFICEERTABELLEN!$B$32:$D$39,3,FALSE()),)))</f>
        <v>1 - 2 weken</v>
      </c>
    </row>
    <row r="79" spans="2:36" ht="123" customHeight="1" x14ac:dyDescent="0.3">
      <c r="B79" s="100">
        <v>83</v>
      </c>
      <c r="C79" s="135" t="s">
        <v>575</v>
      </c>
      <c r="D79" s="52" t="s">
        <v>235</v>
      </c>
      <c r="E79" s="52" t="s">
        <v>236</v>
      </c>
      <c r="F79" s="52" t="s">
        <v>237</v>
      </c>
      <c r="G79" s="109"/>
      <c r="H79" s="42" t="s">
        <v>76</v>
      </c>
      <c r="I79" s="36" t="s">
        <v>77</v>
      </c>
      <c r="J79" s="36" t="s">
        <v>55</v>
      </c>
      <c r="K79" s="36" t="s">
        <v>8</v>
      </c>
      <c r="L79" s="39"/>
      <c r="M79" s="40"/>
      <c r="N79" s="40"/>
      <c r="O79" s="40"/>
      <c r="P79" s="40"/>
      <c r="Q79" s="40"/>
      <c r="R79" s="102">
        <f>IFERROR(Tabel2[[#This Row],[Kans]]*SUM(Tabel2[[#This Row],[Tijd]:[Omgeving]]),0)</f>
        <v>0</v>
      </c>
      <c r="S79" s="103" t="e">
        <f>IF(F$2&lt;KWANTIFICEERTABELLEN!B$17,_xlfn.XLOOKUP(Tabel2[[#This Row],[Kans]],KWANTIFICEERTABELLEN!$B$6:$B$13,KWANTIFICEERTABELLEN!I$6:I$13,),
IF(AND(F$2&gt;KWANTIFICEERTABELLEN!B$17,$F$2&lt;KWANTIFICEERTABELLEN!B$30),_xlfn.XLOOKUP(Tabel2[[#This Row],[Kans]],KWANTIFICEERTABELLEN!$B$19:$B$26,KWANTIFICEERTABELLEN!I$19:I$26),
IF(F$2&gt;KWANTIFICEERTABELLEN!B$30,_xlfn.XLOOKUP(Tabel2[[#This Row],[Kans]],KWANTIFICEERTABELLEN!$B$32:$B$39,KWANTIFICEERTABELLEN!I$32:I$39))))</f>
        <v>#N/A</v>
      </c>
      <c r="T79" s="116"/>
      <c r="U79" s="116"/>
      <c r="V79" s="117" t="s">
        <v>238</v>
      </c>
      <c r="W79" s="42"/>
      <c r="X79" s="48"/>
      <c r="Y79" s="50"/>
      <c r="Z79" s="44">
        <v>2</v>
      </c>
      <c r="AA79" s="44">
        <v>2</v>
      </c>
      <c r="AB79" s="44">
        <v>3</v>
      </c>
      <c r="AC79" s="44">
        <v>3</v>
      </c>
      <c r="AD79" s="44">
        <v>5</v>
      </c>
      <c r="AE79" s="44">
        <v>4</v>
      </c>
      <c r="AF79" s="102">
        <f>IFERROR(Tabel2[[#This Row],[Kans  ]]*SUM(Tabel2[[#This Row],[Tijd  ]:[Omgeving  ]]),0)</f>
        <v>34</v>
      </c>
      <c r="AG79" s="103">
        <f>IF(F$2&lt;KWANTIFICEERTABELLEN!B$17,_xlfn.XLOOKUP(Tabel2[[#This Row],[Kans  ]],KWANTIFICEERTABELLEN!$B$6:$B$13,KWANTIFICEERTABELLEN!I$6:I$13,),
IF(AND(F$2&gt;KWANTIFICEERTABELLEN!B$17,$F$2&lt;KWANTIFICEERTABELLEN!B$30),_xlfn.XLOOKUP(Tabel2[[#This Row],[Kans  ]],KWANTIFICEERTABELLEN!$B$19:$B$26,KWANTIFICEERTABELLEN!I$19:I$26),
IF(F$2&gt;KWANTIFICEERTABELLEN!B$30,_xlfn.XLOOKUP(Tabel2[[#This Row],[Kans  ]],KWANTIFICEERTABELLEN!$B$32:$B$39,KWANTIFICEERTABELLEN!I$32:I$39))))</f>
        <v>0.1</v>
      </c>
      <c r="AH79" s="106">
        <f>IF(F$2&lt;KWANTIFICEERTABELLEN!B$17,_xlfn.XLOOKUP(Tabel2[[#This Row],[Geld  ]],KWANTIFICEERTABELLEN!$B$6:$B$13,KWANTIFICEERTABELLEN!J$6:J$13,),
IF(AND(F$2&gt;KWANTIFICEERTABELLEN!B$17,$F$2&lt;KWANTIFICEERTABELLEN!B$30),_xlfn.XLOOKUP(Tabel2[[#This Row],[Geld  ]],KWANTIFICEERTABELLEN!$B$19:$B$26,KWANTIFICEERTABELLEN!J$19:J$26),
IF(F$2&gt;KWANTIFICEERTABELLEN!B$30,_xlfn.XLOOKUP(Tabel2[[#This Row],[Geld  ]],KWANTIFICEERTABELLEN!$B$32:$B$39,KWANTIFICEERTABELLEN!J$32:J$39))))</f>
        <v>17500</v>
      </c>
      <c r="AI79" s="104">
        <f>IFERROR(Tabel2[[#This Row],[Kans   ]]*Tabel2[[#This Row],[Rekenwaarde kosten]],0)</f>
        <v>1750</v>
      </c>
      <c r="AJ79"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0.5 - 1 weken</v>
      </c>
    </row>
    <row r="80" spans="2:36" ht="63.75" customHeight="1" x14ac:dyDescent="0.3">
      <c r="B80" s="100">
        <v>85</v>
      </c>
      <c r="C80" s="135" t="s">
        <v>575</v>
      </c>
      <c r="D80" s="52" t="s">
        <v>239</v>
      </c>
      <c r="E80" s="52" t="s">
        <v>240</v>
      </c>
      <c r="F80" s="52" t="s">
        <v>241</v>
      </c>
      <c r="G80" s="109"/>
      <c r="H80" s="42" t="s">
        <v>76</v>
      </c>
      <c r="I80" s="36" t="s">
        <v>77</v>
      </c>
      <c r="J80" s="36" t="s">
        <v>55</v>
      </c>
      <c r="K80" s="36" t="s">
        <v>8</v>
      </c>
      <c r="L80" s="39"/>
      <c r="M80" s="40"/>
      <c r="N80" s="40"/>
      <c r="O80" s="40"/>
      <c r="P80" s="40"/>
      <c r="Q80" s="40"/>
      <c r="R80" s="102">
        <f>IFERROR(Tabel2[[#This Row],[Kans]]*SUM(Tabel2[[#This Row],[Tijd]:[Omgeving]]),0)</f>
        <v>0</v>
      </c>
      <c r="S80" s="103" t="e">
        <f>IF(F$2&lt;KWANTIFICEERTABELLEN!B$17,_xlfn.XLOOKUP(Tabel2[[#This Row],[Kans]],KWANTIFICEERTABELLEN!$B$6:$B$13,KWANTIFICEERTABELLEN!I$6:I$13,),
IF(AND(F$2&gt;KWANTIFICEERTABELLEN!B$17,$F$2&lt;KWANTIFICEERTABELLEN!B$30),_xlfn.XLOOKUP(Tabel2[[#This Row],[Kans]],KWANTIFICEERTABELLEN!$B$19:$B$26,KWANTIFICEERTABELLEN!I$19:I$26),
IF(F$2&gt;KWANTIFICEERTABELLEN!B$30,_xlfn.XLOOKUP(Tabel2[[#This Row],[Kans]],KWANTIFICEERTABELLEN!$B$32:$B$39,KWANTIFICEERTABELLEN!I$32:I$39))))</f>
        <v>#N/A</v>
      </c>
      <c r="T80" s="116"/>
      <c r="U80" s="116"/>
      <c r="V80" s="117" t="s">
        <v>242</v>
      </c>
      <c r="W80" s="42"/>
      <c r="X80" s="48"/>
      <c r="Y80" s="50"/>
      <c r="Z80" s="44">
        <v>3</v>
      </c>
      <c r="AA80" s="44">
        <v>4</v>
      </c>
      <c r="AB80" s="44">
        <v>3</v>
      </c>
      <c r="AC80" s="44">
        <v>3</v>
      </c>
      <c r="AD80" s="44">
        <v>0</v>
      </c>
      <c r="AE80" s="44">
        <v>1</v>
      </c>
      <c r="AF80" s="102">
        <f>IFERROR(Tabel2[[#This Row],[Kans  ]]*SUM(Tabel2[[#This Row],[Tijd  ]:[Omgeving  ]]),0)</f>
        <v>33</v>
      </c>
      <c r="AG80" s="103">
        <f>IF(F$2&lt;KWANTIFICEERTABELLEN!B$17,_xlfn.XLOOKUP(Tabel2[[#This Row],[Kans  ]],KWANTIFICEERTABELLEN!$B$6:$B$13,KWANTIFICEERTABELLEN!I$6:I$13,),
IF(AND(F$2&gt;KWANTIFICEERTABELLEN!B$17,$F$2&lt;KWANTIFICEERTABELLEN!B$30),_xlfn.XLOOKUP(Tabel2[[#This Row],[Kans  ]],KWANTIFICEERTABELLEN!$B$19:$B$26,KWANTIFICEERTABELLEN!I$19:I$26),
IF(F$2&gt;KWANTIFICEERTABELLEN!B$30,_xlfn.XLOOKUP(Tabel2[[#This Row],[Kans  ]],KWANTIFICEERTABELLEN!$B$32:$B$39,KWANTIFICEERTABELLEN!I$32:I$39))))</f>
        <v>0.2</v>
      </c>
      <c r="AH80" s="106">
        <f>IF(F$2&lt;KWANTIFICEERTABELLEN!B$17,_xlfn.XLOOKUP(Tabel2[[#This Row],[Geld  ]],KWANTIFICEERTABELLEN!$B$6:$B$13,KWANTIFICEERTABELLEN!J$6:J$13,),
IF(AND(F$2&gt;KWANTIFICEERTABELLEN!B$17,$F$2&lt;KWANTIFICEERTABELLEN!B$30),_xlfn.XLOOKUP(Tabel2[[#This Row],[Geld  ]],KWANTIFICEERTABELLEN!$B$19:$B$26,KWANTIFICEERTABELLEN!J$19:J$26),
IF(F$2&gt;KWANTIFICEERTABELLEN!B$30,_xlfn.XLOOKUP(Tabel2[[#This Row],[Geld  ]],KWANTIFICEERTABELLEN!$B$32:$B$39,KWANTIFICEERTABELLEN!J$32:J$39))))</f>
        <v>17500</v>
      </c>
      <c r="AI80" s="104">
        <f>IFERROR(Tabel2[[#This Row],[Kans   ]]*Tabel2[[#This Row],[Rekenwaarde kosten]],0)</f>
        <v>3500</v>
      </c>
      <c r="AJ80"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2 - 4 weken</v>
      </c>
    </row>
    <row r="81" spans="2:36" ht="150" customHeight="1" x14ac:dyDescent="0.3">
      <c r="B81" s="100">
        <v>64</v>
      </c>
      <c r="C81" s="135" t="s">
        <v>575</v>
      </c>
      <c r="D81" s="52" t="s">
        <v>301</v>
      </c>
      <c r="E81" s="52" t="s">
        <v>302</v>
      </c>
      <c r="F81" s="52" t="s">
        <v>303</v>
      </c>
      <c r="G81" s="109"/>
      <c r="H81" s="42" t="s">
        <v>54</v>
      </c>
      <c r="I81" s="36" t="s">
        <v>214</v>
      </c>
      <c r="J81" s="36" t="s">
        <v>55</v>
      </c>
      <c r="K81" s="36" t="s">
        <v>278</v>
      </c>
      <c r="L81" s="39"/>
      <c r="M81" s="40"/>
      <c r="N81" s="40"/>
      <c r="O81" s="40"/>
      <c r="P81" s="40"/>
      <c r="Q81" s="40"/>
      <c r="R81" s="102">
        <f>IFERROR(Tabel2[[#This Row],[Kans]]*SUM(Tabel2[[#This Row],[Tijd]:[Omgeving]]),0)</f>
        <v>0</v>
      </c>
      <c r="S81" s="115"/>
      <c r="T81" s="116"/>
      <c r="U81" s="116"/>
      <c r="V81" s="117" t="s">
        <v>304</v>
      </c>
      <c r="W81" s="42"/>
      <c r="X81" s="48" t="s">
        <v>582</v>
      </c>
      <c r="Y81" s="138" t="s">
        <v>589</v>
      </c>
      <c r="Z81" s="44">
        <v>3</v>
      </c>
      <c r="AA81" s="44">
        <v>3</v>
      </c>
      <c r="AB81" s="44">
        <v>3</v>
      </c>
      <c r="AC81" s="44">
        <v>2</v>
      </c>
      <c r="AD81" s="44">
        <v>0</v>
      </c>
      <c r="AE81" s="44">
        <v>3</v>
      </c>
      <c r="AF81" s="102">
        <f>IFERROR(Tabel2[[#This Row],[Kans  ]]*SUM(Tabel2[[#This Row],[Tijd  ]:[Omgeving  ]]),0)</f>
        <v>33</v>
      </c>
      <c r="AG81" s="103">
        <f>VLOOKUP(Tabel2[[#This Row],[Kans  ]],KWANTIFICEERTABELLEN!$B$19:$J$26,8,FALSE())</f>
        <v>0.2</v>
      </c>
      <c r="AH81"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17500</v>
      </c>
      <c r="AI81" s="104">
        <f>IFERROR(Tabel2[[#This Row],[Kans   ]]*Tabel2[[#This Row],[Rekenwaarde kosten]],0)</f>
        <v>3500</v>
      </c>
      <c r="AJ81"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1 - 2 weken</v>
      </c>
    </row>
    <row r="82" spans="2:36" ht="76.5" customHeight="1" x14ac:dyDescent="0.3">
      <c r="B82" s="100">
        <v>88</v>
      </c>
      <c r="C82" s="135" t="s">
        <v>574</v>
      </c>
      <c r="D82" s="52" t="s">
        <v>243</v>
      </c>
      <c r="E82" s="52" t="s">
        <v>244</v>
      </c>
      <c r="F82" s="52" t="s">
        <v>245</v>
      </c>
      <c r="G82" s="109"/>
      <c r="H82" s="42" t="s">
        <v>76</v>
      </c>
      <c r="I82" s="36" t="s">
        <v>77</v>
      </c>
      <c r="J82" s="36" t="s">
        <v>64</v>
      </c>
      <c r="K82" s="36" t="s">
        <v>8</v>
      </c>
      <c r="L82" s="39"/>
      <c r="M82" s="40"/>
      <c r="N82" s="40"/>
      <c r="O82" s="40"/>
      <c r="P82" s="40"/>
      <c r="Q82" s="40"/>
      <c r="R82" s="102">
        <f>IFERROR(Tabel2[[#This Row],[Kans]]*SUM(Tabel2[[#This Row],[Tijd]:[Omgeving]]),0)</f>
        <v>0</v>
      </c>
      <c r="S82" s="103" t="e">
        <f>IF(F$2&lt;KWANTIFICEERTABELLEN!B$17,_xlfn.XLOOKUP(Tabel2[[#This Row],[Kans]],KWANTIFICEERTABELLEN!$B$6:$B$13,KWANTIFICEERTABELLEN!I$6:I$13,),
IF(AND(F$2&gt;KWANTIFICEERTABELLEN!B$17,$F$2&lt;KWANTIFICEERTABELLEN!B$30),_xlfn.XLOOKUP(Tabel2[[#This Row],[Kans]],KWANTIFICEERTABELLEN!$B$19:$B$26,KWANTIFICEERTABELLEN!I$19:I$26),
IF(F$2&gt;KWANTIFICEERTABELLEN!B$30,_xlfn.XLOOKUP(Tabel2[[#This Row],[Kans]],KWANTIFICEERTABELLEN!$B$32:$B$39,KWANTIFICEERTABELLEN!I$32:I$39))))</f>
        <v>#N/A</v>
      </c>
      <c r="T82" s="116"/>
      <c r="U82" s="116"/>
      <c r="V82" s="117" t="s">
        <v>246</v>
      </c>
      <c r="W82" s="42"/>
      <c r="X82" s="48"/>
      <c r="Y82" s="50"/>
      <c r="Z82" s="44">
        <v>3</v>
      </c>
      <c r="AA82" s="44">
        <v>2</v>
      </c>
      <c r="AB82" s="44">
        <v>3</v>
      </c>
      <c r="AC82" s="44">
        <v>2</v>
      </c>
      <c r="AD82" s="44">
        <v>2</v>
      </c>
      <c r="AE82" s="44">
        <v>2</v>
      </c>
      <c r="AF82" s="102">
        <f>IFERROR(Tabel2[[#This Row],[Kans  ]]*SUM(Tabel2[[#This Row],[Tijd  ]:[Omgeving  ]]),0)</f>
        <v>33</v>
      </c>
      <c r="AG82" s="103">
        <f>IF(F$2&lt;KWANTIFICEERTABELLEN!B$17,_xlfn.XLOOKUP(Tabel2[[#This Row],[Kans  ]],KWANTIFICEERTABELLEN!$B$6:$B$13,KWANTIFICEERTABELLEN!I$6:I$13,),
IF(AND(F$2&gt;KWANTIFICEERTABELLEN!B$17,$F$2&lt;KWANTIFICEERTABELLEN!B$30),_xlfn.XLOOKUP(Tabel2[[#This Row],[Kans  ]],KWANTIFICEERTABELLEN!$B$19:$B$26,KWANTIFICEERTABELLEN!I$19:I$26),
IF(F$2&gt;KWANTIFICEERTABELLEN!B$30,_xlfn.XLOOKUP(Tabel2[[#This Row],[Kans  ]],KWANTIFICEERTABELLEN!$B$32:$B$39,KWANTIFICEERTABELLEN!I$32:I$39))))</f>
        <v>0.2</v>
      </c>
      <c r="AH82" s="106">
        <f>IF(F$2&lt;KWANTIFICEERTABELLEN!B$17,_xlfn.XLOOKUP(Tabel2[[#This Row],[Geld  ]],KWANTIFICEERTABELLEN!$B$6:$B$13,KWANTIFICEERTABELLEN!J$6:J$13,),
IF(AND(F$2&gt;KWANTIFICEERTABELLEN!B$17,$F$2&lt;KWANTIFICEERTABELLEN!B$30),_xlfn.XLOOKUP(Tabel2[[#This Row],[Geld  ]],KWANTIFICEERTABELLEN!$B$19:$B$26,KWANTIFICEERTABELLEN!J$19:J$26),
IF(F$2&gt;KWANTIFICEERTABELLEN!B$30,_xlfn.XLOOKUP(Tabel2[[#This Row],[Geld  ]],KWANTIFICEERTABELLEN!$B$32:$B$39,KWANTIFICEERTABELLEN!J$32:J$39))))</f>
        <v>17500</v>
      </c>
      <c r="AI82" s="104">
        <f>IFERROR(Tabel2[[#This Row],[Kans   ]]*Tabel2[[#This Row],[Rekenwaarde kosten]],0)</f>
        <v>3500</v>
      </c>
      <c r="AJ82"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0.5 - 1 weken</v>
      </c>
    </row>
    <row r="83" spans="2:36" ht="89.25" customHeight="1" x14ac:dyDescent="0.3">
      <c r="B83" s="100">
        <v>98</v>
      </c>
      <c r="C83" s="135" t="s">
        <v>575</v>
      </c>
      <c r="D83" s="52" t="s">
        <v>451</v>
      </c>
      <c r="E83" s="52" t="s">
        <v>452</v>
      </c>
      <c r="F83" s="52" t="s">
        <v>453</v>
      </c>
      <c r="G83" s="109" t="s">
        <v>431</v>
      </c>
      <c r="H83" s="42" t="s">
        <v>76</v>
      </c>
      <c r="I83" s="36" t="s">
        <v>77</v>
      </c>
      <c r="J83" s="36" t="s">
        <v>64</v>
      </c>
      <c r="K83" s="36" t="s">
        <v>7</v>
      </c>
      <c r="L83" s="39"/>
      <c r="M83" s="40"/>
      <c r="N83" s="40"/>
      <c r="O83" s="40"/>
      <c r="P83" s="40"/>
      <c r="Q83" s="40"/>
      <c r="R83" s="102">
        <f>IFERROR(Tabel2[[#This Row],[Kans]]*SUM(Tabel2[[#This Row],[Tijd]:[Omgeving]]),0)</f>
        <v>0</v>
      </c>
      <c r="S83" s="103" t="e">
        <f>IF(F$2&lt;KWANTIFICEERTABELLEN!B$17,_xlfn.XLOOKUP(Tabel2[[#This Row],[Kans]],KWANTIFICEERTABELLEN!$B$6:$B$13,KWANTIFICEERTABELLEN!I$6:I$13,),IF(AND(F$2&gt;KWANTIFICEERTABELLEN!B$17,$F$2&lt;KWANTIFICEERTABELLEN!B$30),_xlfn.XLOOKUP(Tabel2[[#This Row],[Kans]],KWANTIFICEERTABELLEN!$B$19:$B$26,KWANTIFICEERTABELLEN!I$19:I$26),IF(F$2&gt;KWANTIFICEERTABELLEN!B$30,_xlfn.XLOOKUP(Tabel2[[#This Row],[Kans]],KWANTIFICEERTABELLEN!$B$32:$B$39,KWANTIFICEERTABELLEN!I$32:I$39))))</f>
        <v>#N/A</v>
      </c>
      <c r="T83" s="116"/>
      <c r="U83" s="116">
        <f>IFERROR(Tabel2[[#This Row],[Kans ]]*Tabel2[[#This Row],[Geld ]],0)</f>
        <v>0</v>
      </c>
      <c r="V83" s="117" t="s">
        <v>454</v>
      </c>
      <c r="W83" s="42"/>
      <c r="X83" s="48"/>
      <c r="Y83" s="50"/>
      <c r="Z83" s="44">
        <v>3</v>
      </c>
      <c r="AA83" s="44">
        <v>3</v>
      </c>
      <c r="AB83" s="44">
        <v>4</v>
      </c>
      <c r="AC83" s="44">
        <v>2</v>
      </c>
      <c r="AD83" s="44">
        <v>1</v>
      </c>
      <c r="AE83" s="44">
        <v>1</v>
      </c>
      <c r="AF83" s="102">
        <f>IFERROR(Tabel2[[#This Row],[Kans  ]]*SUM(Tabel2[[#This Row],[Tijd  ]:[Omgeving  ]]),0)</f>
        <v>33</v>
      </c>
      <c r="AG83" s="103">
        <f>IF(F$2&lt;KWANTIFICEERTABELLEN!B$17,_xlfn.XLOOKUP(Tabel2[[#This Row],[Kans  ]],KWANTIFICEERTABELLEN!$B$6:$B$13,KWANTIFICEERTABELLEN!I$6:I$13,),IF(AND(F$2&gt;KWANTIFICEERTABELLEN!B$17,$F$2&lt;KWANTIFICEERTABELLEN!B$30),_xlfn.XLOOKUP(Tabel2[[#This Row],[Kans  ]],KWANTIFICEERTABELLEN!$B$19:$B$26,KWANTIFICEERTABELLEN!I$19:I$26),IF(F$2&gt;KWANTIFICEERTABELLEN!B$30,_xlfn.XLOOKUP(Tabel2[[#This Row],[Kans  ]],KWANTIFICEERTABELLEN!$B$32:$B$39,KWANTIFICEERTABELLEN!I$32:I$39))))</f>
        <v>0.2</v>
      </c>
      <c r="AH83" s="106">
        <f>IF(F$2&lt;KWANTIFICEERTABELLEN!B$17,_xlfn.XLOOKUP(Tabel2[[#This Row],[Geld  ]],KWANTIFICEERTABELLEN!$B$6:$B$13,KWANTIFICEERTABELLEN!J$6:J$13,),IF(AND(F$2&gt;KWANTIFICEERTABELLEN!B$17,$F$2&lt;KWANTIFICEERTABELLEN!B$30),_xlfn.XLOOKUP(Tabel2[[#This Row],[Geld  ]],KWANTIFICEERTABELLEN!$B$19:$B$26,KWANTIFICEERTABELLEN!J$19:J$26),IF(F$2&gt;KWANTIFICEERTABELLEN!B$30,_xlfn.XLOOKUP(Tabel2[[#This Row],[Geld  ]],KWANTIFICEERTABELLEN!$B$32:$B$39,KWANTIFICEERTABELLEN!J$32:J$39))))</f>
        <v>37500</v>
      </c>
      <c r="AI83" s="104">
        <f>IFERROR(Tabel2[[#This Row],[Kans   ]]*Tabel2[[#This Row],[Rekenwaarde kosten]],0)</f>
        <v>7500</v>
      </c>
      <c r="AJ83" s="107" t="str">
        <f>IF(F$2&lt;KWANTIFICEERTABELLEN!B$4,VLOOKUP(Tabel2[[#This Row],[Tijd  ]],KWANTIFICEERTABELLEN!$B$6:$D$13,3,FALSE()),IF(AND(F$2&gt;KWANTIFICEERTABELLEN!B$4,$F$2&lt;KWANTIFICEERTABELLEN!B$30),VLOOKUP(Tabel2[[#This Row],[Tijd  ]],KWANTIFICEERTABELLEN!$B$19:$D$26,3,FALSE()),IF(F$2&gt;KWANTIFICEERTABELLEN!B$30,VLOOKUP(Tabel2[[#This Row],[Tijd  ]],KWANTIFICEERTABELLEN!$B$32:$D$39,3,FALSE()),)))</f>
        <v>1 - 2 weken</v>
      </c>
    </row>
    <row r="84" spans="2:36" ht="138.75" customHeight="1" x14ac:dyDescent="0.3">
      <c r="B84" s="100">
        <v>53</v>
      </c>
      <c r="C84" s="135" t="s">
        <v>575</v>
      </c>
      <c r="D84" s="52" t="s">
        <v>318</v>
      </c>
      <c r="E84" s="52" t="s">
        <v>319</v>
      </c>
      <c r="F84" s="52" t="s">
        <v>320</v>
      </c>
      <c r="G84" s="109"/>
      <c r="H84" s="42" t="s">
        <v>54</v>
      </c>
      <c r="I84" s="36" t="s">
        <v>214</v>
      </c>
      <c r="J84" s="36" t="s">
        <v>55</v>
      </c>
      <c r="K84" s="36" t="s">
        <v>8</v>
      </c>
      <c r="L84" s="39"/>
      <c r="M84" s="40"/>
      <c r="N84" s="40"/>
      <c r="O84" s="40"/>
      <c r="P84" s="40"/>
      <c r="Q84" s="40"/>
      <c r="R84" s="102">
        <f>IFERROR(Tabel2[[#This Row],[Kans]]*SUM(Tabel2[[#This Row],[Tijd]:[Omgeving]]),0)</f>
        <v>0</v>
      </c>
      <c r="S84" s="115"/>
      <c r="T84" s="116"/>
      <c r="U84" s="116"/>
      <c r="V84" s="117" t="s">
        <v>585</v>
      </c>
      <c r="W84" s="42"/>
      <c r="X84" s="48" t="s">
        <v>586</v>
      </c>
      <c r="Y84" s="138" t="s">
        <v>590</v>
      </c>
      <c r="Z84" s="44">
        <v>2</v>
      </c>
      <c r="AA84" s="44">
        <v>3</v>
      </c>
      <c r="AB84" s="44">
        <v>2</v>
      </c>
      <c r="AC84" s="44">
        <v>4</v>
      </c>
      <c r="AD84" s="44">
        <v>3</v>
      </c>
      <c r="AE84" s="44">
        <v>4</v>
      </c>
      <c r="AF84" s="102">
        <f>IFERROR(Tabel2[[#This Row],[Kans  ]]*SUM(Tabel2[[#This Row],[Tijd  ]:[Omgeving  ]]),0)</f>
        <v>32</v>
      </c>
      <c r="AG84" s="103">
        <f>VLOOKUP(Tabel2[[#This Row],[Kans  ]],KWANTIFICEERTABELLEN!$B$19:$J$26,8,FALSE())</f>
        <v>0.1</v>
      </c>
      <c r="AH84"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7500</v>
      </c>
      <c r="AI84" s="104">
        <f>IFERROR(Tabel2[[#This Row],[Kans   ]]*Tabel2[[#This Row],[Rekenwaarde kosten]],0)</f>
        <v>750</v>
      </c>
      <c r="AJ84"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1 - 2 weken</v>
      </c>
    </row>
    <row r="85" spans="2:36" ht="137.25" customHeight="1" x14ac:dyDescent="0.3">
      <c r="B85" s="100">
        <v>62</v>
      </c>
      <c r="C85" s="135" t="s">
        <v>575</v>
      </c>
      <c r="D85" s="52" t="s">
        <v>275</v>
      </c>
      <c r="E85" s="52" t="s">
        <v>276</v>
      </c>
      <c r="F85" s="52" t="s">
        <v>277</v>
      </c>
      <c r="G85" s="109" t="s">
        <v>583</v>
      </c>
      <c r="H85" s="42" t="s">
        <v>591</v>
      </c>
      <c r="I85" s="36" t="s">
        <v>214</v>
      </c>
      <c r="J85" s="36" t="s">
        <v>64</v>
      </c>
      <c r="K85" s="36" t="s">
        <v>278</v>
      </c>
      <c r="L85" s="39">
        <v>3</v>
      </c>
      <c r="M85" s="40">
        <v>3</v>
      </c>
      <c r="N85" s="40">
        <v>3</v>
      </c>
      <c r="O85" s="40">
        <v>1</v>
      </c>
      <c r="P85" s="40"/>
      <c r="Q85" s="40"/>
      <c r="R85" s="102">
        <f>IFERROR(Tabel2[[#This Row],[Kans]]*SUM(Tabel2[[#This Row],[Tijd]:[Omgeving]]),0)</f>
        <v>21</v>
      </c>
      <c r="S85" s="115"/>
      <c r="T85" s="116"/>
      <c r="U85" s="116"/>
      <c r="V85" s="117" t="s">
        <v>279</v>
      </c>
      <c r="W85" s="42"/>
      <c r="X85" s="48" t="s">
        <v>584</v>
      </c>
      <c r="Y85" s="138" t="s">
        <v>588</v>
      </c>
      <c r="Z85" s="44">
        <v>2</v>
      </c>
      <c r="AA85" s="44">
        <v>3</v>
      </c>
      <c r="AB85" s="44">
        <v>2</v>
      </c>
      <c r="AC85" s="44">
        <v>0</v>
      </c>
      <c r="AD85" s="44">
        <v>0</v>
      </c>
      <c r="AE85" s="44">
        <v>0</v>
      </c>
      <c r="AF85" s="102">
        <f>IFERROR(Tabel2[[#This Row],[Kans  ]]*SUM(Tabel2[[#This Row],[Tijd  ]:[Omgeving  ]]),0)</f>
        <v>10</v>
      </c>
      <c r="AG85" s="103">
        <f>VLOOKUP(Tabel2[[#This Row],[Kans  ]],KWANTIFICEERTABELLEN!$B$19:$J$26,8,FALSE())</f>
        <v>0.1</v>
      </c>
      <c r="AH85"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7500</v>
      </c>
      <c r="AI85" s="104">
        <f>IFERROR(Tabel2[[#This Row],[Kans   ]]*Tabel2[[#This Row],[Rekenwaarde kosten]],0)</f>
        <v>750</v>
      </c>
      <c r="AJ85"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1 - 2 weken</v>
      </c>
    </row>
    <row r="86" spans="2:36" ht="25.5" customHeight="1" x14ac:dyDescent="0.3">
      <c r="B86" s="100">
        <v>20</v>
      </c>
      <c r="C86" s="135" t="s">
        <v>574</v>
      </c>
      <c r="D86" s="51" t="s">
        <v>93</v>
      </c>
      <c r="E86" s="51" t="s">
        <v>94</v>
      </c>
      <c r="F86" s="51" t="s">
        <v>95</v>
      </c>
      <c r="G86" s="101"/>
      <c r="H86" s="43" t="s">
        <v>96</v>
      </c>
      <c r="I86" s="36" t="s">
        <v>77</v>
      </c>
      <c r="J86" s="43" t="s">
        <v>7</v>
      </c>
      <c r="K86" s="43" t="s">
        <v>8</v>
      </c>
      <c r="L86" s="46">
        <v>5</v>
      </c>
      <c r="M86" s="44">
        <v>4</v>
      </c>
      <c r="N86" s="44">
        <v>2</v>
      </c>
      <c r="O86" s="44">
        <v>3</v>
      </c>
      <c r="P86" s="44">
        <v>0</v>
      </c>
      <c r="Q86" s="44">
        <v>1</v>
      </c>
      <c r="R86" s="102">
        <f>IFERROR(Tabel2[[#This Row],[Kans]]*SUM(Tabel2[[#This Row],[Tijd]:[Omgeving]]),0)</f>
        <v>50</v>
      </c>
      <c r="S86" s="103">
        <f>IF(F$2&lt;KWANTIFICEERTABELLEN!B$17,_xlfn.XLOOKUP(Tabel2[[#This Row],[Kans]],KWANTIFICEERTABELLEN!$B$6:$B$13,KWANTIFICEERTABELLEN!I$6:I$13,),
IF(AND(F$2&gt;KWANTIFICEERTABELLEN!B$17,$F$2&lt;KWANTIFICEERTABELLEN!B$30),_xlfn.XLOOKUP(Tabel2[[#This Row],[Kans]],KWANTIFICEERTABELLEN!$B$19:$B$26,KWANTIFICEERTABELLEN!I$19:I$26),
IF(F$2&gt;KWANTIFICEERTABELLEN!B$30,_xlfn.XLOOKUP(Tabel2[[#This Row],[Kans]],KWANTIFICEERTABELLEN!$B$32:$B$39,KWANTIFICEERTABELLEN!I$32:I$39))))</f>
        <v>0.4</v>
      </c>
      <c r="T86" s="104"/>
      <c r="U86" s="104"/>
      <c r="V86" s="105" t="s">
        <v>97</v>
      </c>
      <c r="W86" s="47" t="s">
        <v>98</v>
      </c>
      <c r="X86" s="45" t="s">
        <v>99</v>
      </c>
      <c r="Y86" s="48"/>
      <c r="Z86" s="46">
        <v>3</v>
      </c>
      <c r="AA86" s="44">
        <v>4</v>
      </c>
      <c r="AB86" s="44">
        <v>2</v>
      </c>
      <c r="AC86" s="44">
        <v>3</v>
      </c>
      <c r="AD86" s="44">
        <v>0</v>
      </c>
      <c r="AE86" s="44">
        <v>1</v>
      </c>
      <c r="AF86" s="102">
        <f>IFERROR(Tabel2[[#This Row],[Kans  ]]*SUM(Tabel2[[#This Row],[Tijd  ]:[Omgeving  ]]),0)</f>
        <v>30</v>
      </c>
      <c r="AG86" s="103">
        <f>IF(F$2&lt;KWANTIFICEERTABELLEN!B$17,_xlfn.XLOOKUP(Tabel2[[#This Row],[Kans  ]],KWANTIFICEERTABELLEN!$B$6:$B$13,KWANTIFICEERTABELLEN!I$6:I$13,),
IF(AND(F$2&gt;KWANTIFICEERTABELLEN!B$17,$F$2&lt;KWANTIFICEERTABELLEN!B$30),_xlfn.XLOOKUP(Tabel2[[#This Row],[Kans  ]],KWANTIFICEERTABELLEN!$B$19:$B$26,KWANTIFICEERTABELLEN!I$19:I$26),
IF(F$2&gt;KWANTIFICEERTABELLEN!B$30,_xlfn.XLOOKUP(Tabel2[[#This Row],[Kans  ]],KWANTIFICEERTABELLEN!$B$32:$B$39,KWANTIFICEERTABELLEN!I$32:I$39))))</f>
        <v>0.2</v>
      </c>
      <c r="AH86" s="106">
        <f>IF(F$2&lt;KWANTIFICEERTABELLEN!B$17,_xlfn.XLOOKUP(Tabel2[[#This Row],[Geld  ]],KWANTIFICEERTABELLEN!$B$6:$B$13,KWANTIFICEERTABELLEN!J$6:J$13,),
IF(AND(F$2&gt;KWANTIFICEERTABELLEN!B$17,$F$2&lt;KWANTIFICEERTABELLEN!B$30),_xlfn.XLOOKUP(Tabel2[[#This Row],[Geld  ]],KWANTIFICEERTABELLEN!$B$19:$B$26,KWANTIFICEERTABELLEN!J$19:J$26),
IF(F$2&gt;KWANTIFICEERTABELLEN!B$30,_xlfn.XLOOKUP(Tabel2[[#This Row],[Geld  ]],KWANTIFICEERTABELLEN!$B$32:$B$39,KWANTIFICEERTABELLEN!J$32:J$39))))</f>
        <v>7500</v>
      </c>
      <c r="AI86" s="104">
        <f>IFERROR(Tabel2[[#This Row],[Kans   ]]*Tabel2[[#This Row],[Rekenwaarde kosten]],0)</f>
        <v>1500</v>
      </c>
      <c r="AJ86"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2 - 4 weken</v>
      </c>
    </row>
    <row r="87" spans="2:36" ht="102" customHeight="1" x14ac:dyDescent="0.3">
      <c r="B87" s="100">
        <v>75</v>
      </c>
      <c r="C87" s="135" t="s">
        <v>575</v>
      </c>
      <c r="D87" s="52" t="s">
        <v>280</v>
      </c>
      <c r="E87" s="52" t="s">
        <v>281</v>
      </c>
      <c r="F87" s="52" t="s">
        <v>282</v>
      </c>
      <c r="G87" s="109"/>
      <c r="H87" s="42" t="s">
        <v>76</v>
      </c>
      <c r="I87" s="36" t="s">
        <v>77</v>
      </c>
      <c r="J87" s="36" t="s">
        <v>55</v>
      </c>
      <c r="K87" s="36" t="s">
        <v>8</v>
      </c>
      <c r="L87" s="39"/>
      <c r="M87" s="40"/>
      <c r="N87" s="40"/>
      <c r="O87" s="40"/>
      <c r="P87" s="40"/>
      <c r="Q87" s="40"/>
      <c r="R87" s="102">
        <f>IFERROR(Tabel2[[#This Row],[Kans]]*SUM(Tabel2[[#This Row],[Tijd]:[Omgeving]]),0)</f>
        <v>0</v>
      </c>
      <c r="S87" s="103" t="e">
        <f>IF(F$2&lt;KWANTIFICEERTABELLEN!B$17,_xlfn.XLOOKUP(Tabel2[[#This Row],[Kans]],KWANTIFICEERTABELLEN!$B$6:$B$13,KWANTIFICEERTABELLEN!I$6:I$13,),
IF(AND(F$2&gt;KWANTIFICEERTABELLEN!B$17,$F$2&lt;KWANTIFICEERTABELLEN!B$30),_xlfn.XLOOKUP(Tabel2[[#This Row],[Kans]],KWANTIFICEERTABELLEN!$B$19:$B$26,KWANTIFICEERTABELLEN!I$19:I$26),
IF(F$2&gt;KWANTIFICEERTABELLEN!B$30,_xlfn.XLOOKUP(Tabel2[[#This Row],[Kans]],KWANTIFICEERTABELLEN!$B$32:$B$39,KWANTIFICEERTABELLEN!I$32:I$39))))</f>
        <v>#N/A</v>
      </c>
      <c r="T87" s="116"/>
      <c r="U87" s="116"/>
      <c r="V87" s="117" t="s">
        <v>283</v>
      </c>
      <c r="W87" s="42"/>
      <c r="X87" s="48"/>
      <c r="Y87" s="50"/>
      <c r="Z87" s="44">
        <v>2</v>
      </c>
      <c r="AA87" s="44">
        <v>3</v>
      </c>
      <c r="AB87" s="44">
        <v>4</v>
      </c>
      <c r="AC87" s="44">
        <v>3</v>
      </c>
      <c r="AD87" s="44">
        <v>3</v>
      </c>
      <c r="AE87" s="44">
        <v>2</v>
      </c>
      <c r="AF87" s="102">
        <f>IFERROR(Tabel2[[#This Row],[Kans  ]]*SUM(Tabel2[[#This Row],[Tijd  ]:[Omgeving  ]]),0)</f>
        <v>30</v>
      </c>
      <c r="AG87" s="103">
        <f>IF(F$2&lt;KWANTIFICEERTABELLEN!B$17,_xlfn.XLOOKUP(Tabel2[[#This Row],[Kans  ]],KWANTIFICEERTABELLEN!$B$6:$B$13,KWANTIFICEERTABELLEN!I$6:I$13,),
IF(AND(F$2&gt;KWANTIFICEERTABELLEN!B$17,$F$2&lt;KWANTIFICEERTABELLEN!B$30),_xlfn.XLOOKUP(Tabel2[[#This Row],[Kans  ]],KWANTIFICEERTABELLEN!$B$19:$B$26,KWANTIFICEERTABELLEN!I$19:I$26),
IF(F$2&gt;KWANTIFICEERTABELLEN!B$30,_xlfn.XLOOKUP(Tabel2[[#This Row],[Kans  ]],KWANTIFICEERTABELLEN!$B$32:$B$39,KWANTIFICEERTABELLEN!I$32:I$39))))</f>
        <v>0.1</v>
      </c>
      <c r="AH87" s="106">
        <f>IF(F$2&lt;KWANTIFICEERTABELLEN!B$17,_xlfn.XLOOKUP(Tabel2[[#This Row],[Geld  ]],KWANTIFICEERTABELLEN!$B$6:$B$13,KWANTIFICEERTABELLEN!J$6:J$13,),
IF(AND(F$2&gt;KWANTIFICEERTABELLEN!B$17,$F$2&lt;KWANTIFICEERTABELLEN!B$30),_xlfn.XLOOKUP(Tabel2[[#This Row],[Geld  ]],KWANTIFICEERTABELLEN!$B$19:$B$26,KWANTIFICEERTABELLEN!J$19:J$26),
IF(F$2&gt;KWANTIFICEERTABELLEN!B$30,_xlfn.XLOOKUP(Tabel2[[#This Row],[Geld  ]],KWANTIFICEERTABELLEN!$B$32:$B$39,KWANTIFICEERTABELLEN!J$32:J$39))))</f>
        <v>37500</v>
      </c>
      <c r="AI87" s="104">
        <f>IFERROR(Tabel2[[#This Row],[Kans   ]]*Tabel2[[#This Row],[Rekenwaarde kosten]],0)</f>
        <v>3750</v>
      </c>
      <c r="AJ87"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1 - 2 weken</v>
      </c>
    </row>
    <row r="88" spans="2:36" ht="178.5" customHeight="1" x14ac:dyDescent="0.3">
      <c r="B88" s="100">
        <v>70</v>
      </c>
      <c r="C88" s="135" t="s">
        <v>575</v>
      </c>
      <c r="D88" s="52" t="s">
        <v>284</v>
      </c>
      <c r="E88" s="52" t="s">
        <v>285</v>
      </c>
      <c r="F88" s="52" t="s">
        <v>286</v>
      </c>
      <c r="G88" s="109"/>
      <c r="H88" s="42" t="s">
        <v>76</v>
      </c>
      <c r="I88" s="36" t="s">
        <v>77</v>
      </c>
      <c r="J88" s="36" t="s">
        <v>64</v>
      </c>
      <c r="K88" s="36" t="s">
        <v>8</v>
      </c>
      <c r="L88" s="39"/>
      <c r="M88" s="40"/>
      <c r="N88" s="40"/>
      <c r="O88" s="40"/>
      <c r="P88" s="40"/>
      <c r="Q88" s="40"/>
      <c r="R88" s="102">
        <f>IFERROR(Tabel2[[#This Row],[Kans]]*SUM(Tabel2[[#This Row],[Tijd]:[Omgeving]]),0)</f>
        <v>0</v>
      </c>
      <c r="S88" s="103" t="e">
        <f>IF(F$2&lt;KWANTIFICEERTABELLEN!B$17,_xlfn.XLOOKUP(Tabel2[[#This Row],[Kans]],KWANTIFICEERTABELLEN!$B$6:$B$13,KWANTIFICEERTABELLEN!I$6:I$13,),
IF(AND(F$2&gt;KWANTIFICEERTABELLEN!B$17,$F$2&lt;KWANTIFICEERTABELLEN!B$30),_xlfn.XLOOKUP(Tabel2[[#This Row],[Kans]],KWANTIFICEERTABELLEN!$B$19:$B$26,KWANTIFICEERTABELLEN!I$19:I$26),
IF(F$2&gt;KWANTIFICEERTABELLEN!B$30,_xlfn.XLOOKUP(Tabel2[[#This Row],[Kans]],KWANTIFICEERTABELLEN!$B$32:$B$39,KWANTIFICEERTABELLEN!I$32:I$39))))</f>
        <v>#N/A</v>
      </c>
      <c r="T88" s="116"/>
      <c r="U88" s="116"/>
      <c r="V88" s="117" t="s">
        <v>287</v>
      </c>
      <c r="W88" s="42"/>
      <c r="X88" s="48"/>
      <c r="Y88" s="50"/>
      <c r="Z88" s="44">
        <v>2</v>
      </c>
      <c r="AA88" s="44">
        <v>4</v>
      </c>
      <c r="AB88" s="44">
        <v>4</v>
      </c>
      <c r="AC88" s="44">
        <v>2</v>
      </c>
      <c r="AD88" s="44">
        <v>0</v>
      </c>
      <c r="AE88" s="44">
        <v>4</v>
      </c>
      <c r="AF88" s="102">
        <f>IFERROR(Tabel2[[#This Row],[Kans  ]]*SUM(Tabel2[[#This Row],[Tijd  ]:[Omgeving  ]]),0)</f>
        <v>28</v>
      </c>
      <c r="AG88" s="103">
        <f>IF(F$2&lt;KWANTIFICEERTABELLEN!B$17,_xlfn.XLOOKUP(Tabel2[[#This Row],[Kans  ]],KWANTIFICEERTABELLEN!$B$6:$B$13,KWANTIFICEERTABELLEN!I$6:I$13,),
IF(AND(F$2&gt;KWANTIFICEERTABELLEN!B$17,$F$2&lt;KWANTIFICEERTABELLEN!B$30),_xlfn.XLOOKUP(Tabel2[[#This Row],[Kans  ]],KWANTIFICEERTABELLEN!$B$19:$B$26,KWANTIFICEERTABELLEN!I$19:I$26),
IF(F$2&gt;KWANTIFICEERTABELLEN!B$30,_xlfn.XLOOKUP(Tabel2[[#This Row],[Kans  ]],KWANTIFICEERTABELLEN!$B$32:$B$39,KWANTIFICEERTABELLEN!I$32:I$39))))</f>
        <v>0.1</v>
      </c>
      <c r="AH88" s="106">
        <f>IF(F$2&lt;KWANTIFICEERTABELLEN!B$17,_xlfn.XLOOKUP(Tabel2[[#This Row],[Geld  ]],KWANTIFICEERTABELLEN!$B$6:$B$13,KWANTIFICEERTABELLEN!J$6:J$13,),
IF(AND(F$2&gt;KWANTIFICEERTABELLEN!B$17,$F$2&lt;KWANTIFICEERTABELLEN!B$30),_xlfn.XLOOKUP(Tabel2[[#This Row],[Geld  ]],KWANTIFICEERTABELLEN!$B$19:$B$26,KWANTIFICEERTABELLEN!J$19:J$26),
IF(F$2&gt;KWANTIFICEERTABELLEN!B$30,_xlfn.XLOOKUP(Tabel2[[#This Row],[Geld  ]],KWANTIFICEERTABELLEN!$B$32:$B$39,KWANTIFICEERTABELLEN!J$32:J$39))))</f>
        <v>37500</v>
      </c>
      <c r="AI88" s="104">
        <f>IFERROR(Tabel2[[#This Row],[Kans   ]]*Tabel2[[#This Row],[Rekenwaarde kosten]],0)</f>
        <v>3750</v>
      </c>
      <c r="AJ88"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2 - 4 weken</v>
      </c>
    </row>
    <row r="89" spans="2:36" ht="63.75" customHeight="1" x14ac:dyDescent="0.3">
      <c r="B89" s="100">
        <v>74</v>
      </c>
      <c r="C89" s="135" t="s">
        <v>575</v>
      </c>
      <c r="D89" s="52" t="s">
        <v>288</v>
      </c>
      <c r="E89" s="52" t="s">
        <v>289</v>
      </c>
      <c r="F89" s="52" t="s">
        <v>290</v>
      </c>
      <c r="G89" s="109"/>
      <c r="H89" s="42" t="s">
        <v>76</v>
      </c>
      <c r="I89" s="36" t="s">
        <v>77</v>
      </c>
      <c r="J89" s="36" t="s">
        <v>55</v>
      </c>
      <c r="K89" s="36" t="s">
        <v>8</v>
      </c>
      <c r="L89" s="39"/>
      <c r="M89" s="40"/>
      <c r="N89" s="40"/>
      <c r="O89" s="40"/>
      <c r="P89" s="40"/>
      <c r="Q89" s="40"/>
      <c r="R89" s="102">
        <f>IFERROR(Tabel2[[#This Row],[Kans]]*SUM(Tabel2[[#This Row],[Tijd]:[Omgeving]]),0)</f>
        <v>0</v>
      </c>
      <c r="S89" s="103" t="e">
        <f>IF(F$2&lt;KWANTIFICEERTABELLEN!B$17,_xlfn.XLOOKUP(Tabel2[[#This Row],[Kans]],KWANTIFICEERTABELLEN!$B$6:$B$13,KWANTIFICEERTABELLEN!I$6:I$13,),
IF(AND(F$2&gt;KWANTIFICEERTABELLEN!B$17,$F$2&lt;KWANTIFICEERTABELLEN!B$30),_xlfn.XLOOKUP(Tabel2[[#This Row],[Kans]],KWANTIFICEERTABELLEN!$B$19:$B$26,KWANTIFICEERTABELLEN!I$19:I$26),
IF(F$2&gt;KWANTIFICEERTABELLEN!B$30,_xlfn.XLOOKUP(Tabel2[[#This Row],[Kans]],KWANTIFICEERTABELLEN!$B$32:$B$39,KWANTIFICEERTABELLEN!I$32:I$39))))</f>
        <v>#N/A</v>
      </c>
      <c r="T89" s="116"/>
      <c r="U89" s="116"/>
      <c r="V89" s="117" t="s">
        <v>291</v>
      </c>
      <c r="W89" s="42"/>
      <c r="X89" s="48"/>
      <c r="Y89" s="50"/>
      <c r="Z89" s="44">
        <v>2</v>
      </c>
      <c r="AA89" s="44">
        <v>2</v>
      </c>
      <c r="AB89" s="44">
        <v>2</v>
      </c>
      <c r="AC89" s="44">
        <v>3</v>
      </c>
      <c r="AD89" s="44">
        <v>5</v>
      </c>
      <c r="AE89" s="44">
        <v>2</v>
      </c>
      <c r="AF89" s="102">
        <f>IFERROR(Tabel2[[#This Row],[Kans  ]]*SUM(Tabel2[[#This Row],[Tijd  ]:[Omgeving  ]]),0)</f>
        <v>28</v>
      </c>
      <c r="AG89" s="103">
        <f>IF(F$2&lt;KWANTIFICEERTABELLEN!B$17,_xlfn.XLOOKUP(Tabel2[[#This Row],[Kans  ]],KWANTIFICEERTABELLEN!$B$6:$B$13,KWANTIFICEERTABELLEN!I$6:I$13,),
IF(AND(F$2&gt;KWANTIFICEERTABELLEN!B$17,$F$2&lt;KWANTIFICEERTABELLEN!B$30),_xlfn.XLOOKUP(Tabel2[[#This Row],[Kans  ]],KWANTIFICEERTABELLEN!$B$19:$B$26,KWANTIFICEERTABELLEN!I$19:I$26),
IF(F$2&gt;KWANTIFICEERTABELLEN!B$30,_xlfn.XLOOKUP(Tabel2[[#This Row],[Kans  ]],KWANTIFICEERTABELLEN!$B$32:$B$39,KWANTIFICEERTABELLEN!I$32:I$39))))</f>
        <v>0.1</v>
      </c>
      <c r="AH89" s="106">
        <f>IF(F$2&lt;KWANTIFICEERTABELLEN!B$17,_xlfn.XLOOKUP(Tabel2[[#This Row],[Geld  ]],KWANTIFICEERTABELLEN!$B$6:$B$13,KWANTIFICEERTABELLEN!J$6:J$13,),
IF(AND(F$2&gt;KWANTIFICEERTABELLEN!B$17,$F$2&lt;KWANTIFICEERTABELLEN!B$30),_xlfn.XLOOKUP(Tabel2[[#This Row],[Geld  ]],KWANTIFICEERTABELLEN!$B$19:$B$26,KWANTIFICEERTABELLEN!J$19:J$26),
IF(F$2&gt;KWANTIFICEERTABELLEN!B$30,_xlfn.XLOOKUP(Tabel2[[#This Row],[Geld  ]],KWANTIFICEERTABELLEN!$B$32:$B$39,KWANTIFICEERTABELLEN!J$32:J$39))))</f>
        <v>7500</v>
      </c>
      <c r="AI89" s="104">
        <f>IFERROR(Tabel2[[#This Row],[Kans   ]]*Tabel2[[#This Row],[Rekenwaarde kosten]],0)</f>
        <v>750</v>
      </c>
      <c r="AJ89"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0.5 - 1 weken</v>
      </c>
    </row>
    <row r="90" spans="2:36" ht="117.75" customHeight="1" x14ac:dyDescent="0.3">
      <c r="B90" s="100">
        <v>77</v>
      </c>
      <c r="C90" s="135" t="s">
        <v>575</v>
      </c>
      <c r="D90" s="52" t="s">
        <v>292</v>
      </c>
      <c r="E90" s="52" t="s">
        <v>293</v>
      </c>
      <c r="F90" s="52" t="s">
        <v>294</v>
      </c>
      <c r="G90" s="109"/>
      <c r="H90" s="42" t="s">
        <v>76</v>
      </c>
      <c r="I90" s="36" t="s">
        <v>77</v>
      </c>
      <c r="J90" s="36" t="s">
        <v>55</v>
      </c>
      <c r="K90" s="36" t="s">
        <v>8</v>
      </c>
      <c r="L90" s="39"/>
      <c r="M90" s="40"/>
      <c r="N90" s="40"/>
      <c r="O90" s="40"/>
      <c r="P90" s="40"/>
      <c r="Q90" s="40"/>
      <c r="R90" s="102">
        <f>IFERROR(Tabel2[[#This Row],[Kans]]*SUM(Tabel2[[#This Row],[Tijd]:[Omgeving]]),0)</f>
        <v>0</v>
      </c>
      <c r="S90" s="103" t="e">
        <f>IF(F$2&lt;KWANTIFICEERTABELLEN!B$17,_xlfn.XLOOKUP(Tabel2[[#This Row],[Kans]],KWANTIFICEERTABELLEN!$B$6:$B$13,KWANTIFICEERTABELLEN!I$6:I$13,),
IF(AND(F$2&gt;KWANTIFICEERTABELLEN!B$17,$F$2&lt;KWANTIFICEERTABELLEN!B$30),_xlfn.XLOOKUP(Tabel2[[#This Row],[Kans]],KWANTIFICEERTABELLEN!$B$19:$B$26,KWANTIFICEERTABELLEN!I$19:I$26),
IF(F$2&gt;KWANTIFICEERTABELLEN!B$30,_xlfn.XLOOKUP(Tabel2[[#This Row],[Kans]],KWANTIFICEERTABELLEN!$B$32:$B$39,KWANTIFICEERTABELLEN!I$32:I$39))))</f>
        <v>#N/A</v>
      </c>
      <c r="T90" s="116"/>
      <c r="U90" s="116"/>
      <c r="V90" s="117" t="s">
        <v>295</v>
      </c>
      <c r="W90" s="42"/>
      <c r="X90" s="48"/>
      <c r="Y90" s="50"/>
      <c r="Z90" s="44">
        <v>2</v>
      </c>
      <c r="AA90" s="44">
        <v>2</v>
      </c>
      <c r="AB90" s="44">
        <v>2</v>
      </c>
      <c r="AC90" s="44">
        <v>1</v>
      </c>
      <c r="AD90" s="44">
        <v>6</v>
      </c>
      <c r="AE90" s="44">
        <v>3</v>
      </c>
      <c r="AF90" s="102">
        <f>IFERROR(Tabel2[[#This Row],[Kans  ]]*SUM(Tabel2[[#This Row],[Tijd  ]:[Omgeving  ]]),0)</f>
        <v>28</v>
      </c>
      <c r="AG90" s="103">
        <f>IF(F$2&lt;KWANTIFICEERTABELLEN!B$17,_xlfn.XLOOKUP(Tabel2[[#This Row],[Kans  ]],KWANTIFICEERTABELLEN!$B$6:$B$13,KWANTIFICEERTABELLEN!I$6:I$13,),
IF(AND(F$2&gt;KWANTIFICEERTABELLEN!B$17,$F$2&lt;KWANTIFICEERTABELLEN!B$30),_xlfn.XLOOKUP(Tabel2[[#This Row],[Kans  ]],KWANTIFICEERTABELLEN!$B$19:$B$26,KWANTIFICEERTABELLEN!I$19:I$26),
IF(F$2&gt;KWANTIFICEERTABELLEN!B$30,_xlfn.XLOOKUP(Tabel2[[#This Row],[Kans  ]],KWANTIFICEERTABELLEN!$B$32:$B$39,KWANTIFICEERTABELLEN!I$32:I$39))))</f>
        <v>0.1</v>
      </c>
      <c r="AH90" s="106">
        <f>IF(F$2&lt;KWANTIFICEERTABELLEN!B$17,_xlfn.XLOOKUP(Tabel2[[#This Row],[Geld  ]],KWANTIFICEERTABELLEN!$B$6:$B$13,KWANTIFICEERTABELLEN!J$6:J$13,),
IF(AND(F$2&gt;KWANTIFICEERTABELLEN!B$17,$F$2&lt;KWANTIFICEERTABELLEN!B$30),_xlfn.XLOOKUP(Tabel2[[#This Row],[Geld  ]],KWANTIFICEERTABELLEN!$B$19:$B$26,KWANTIFICEERTABELLEN!J$19:J$26),
IF(F$2&gt;KWANTIFICEERTABELLEN!B$30,_xlfn.XLOOKUP(Tabel2[[#This Row],[Geld  ]],KWANTIFICEERTABELLEN!$B$32:$B$39,KWANTIFICEERTABELLEN!J$32:J$39))))</f>
        <v>7500</v>
      </c>
      <c r="AI90" s="104">
        <f>IFERROR(Tabel2[[#This Row],[Kans   ]]*Tabel2[[#This Row],[Rekenwaarde kosten]],0)</f>
        <v>750</v>
      </c>
      <c r="AJ90"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0.5 - 1 weken</v>
      </c>
    </row>
    <row r="91" spans="2:36" ht="129" customHeight="1" x14ac:dyDescent="0.3">
      <c r="B91" s="100">
        <v>57</v>
      </c>
      <c r="C91" s="135" t="s">
        <v>574</v>
      </c>
      <c r="D91" s="52" t="s">
        <v>296</v>
      </c>
      <c r="E91" s="52" t="s">
        <v>297</v>
      </c>
      <c r="F91" s="52" t="s">
        <v>298</v>
      </c>
      <c r="G91" s="109"/>
      <c r="H91" s="42" t="s">
        <v>76</v>
      </c>
      <c r="I91" s="36" t="s">
        <v>299</v>
      </c>
      <c r="J91" s="36" t="s">
        <v>64</v>
      </c>
      <c r="K91" s="36" t="s">
        <v>7</v>
      </c>
      <c r="L91" s="39"/>
      <c r="M91" s="40"/>
      <c r="N91" s="40"/>
      <c r="O91" s="40"/>
      <c r="P91" s="40"/>
      <c r="Q91" s="40"/>
      <c r="R91" s="102">
        <f>IFERROR(Tabel2[[#This Row],[Kans]]*SUM(Tabel2[[#This Row],[Tijd]:[Omgeving]]),0)</f>
        <v>0</v>
      </c>
      <c r="S91" s="115"/>
      <c r="T91" s="116"/>
      <c r="U91" s="116"/>
      <c r="V91" s="117" t="s">
        <v>300</v>
      </c>
      <c r="W91" s="42"/>
      <c r="X91" s="48"/>
      <c r="Y91" s="50"/>
      <c r="Z91" s="44">
        <v>3</v>
      </c>
      <c r="AA91" s="44">
        <v>3</v>
      </c>
      <c r="AB91" s="44">
        <v>2</v>
      </c>
      <c r="AC91" s="44">
        <v>3</v>
      </c>
      <c r="AD91" s="44">
        <v>0</v>
      </c>
      <c r="AE91" s="44">
        <v>1</v>
      </c>
      <c r="AF91" s="102">
        <f>IFERROR(Tabel2[[#This Row],[Kans  ]]*SUM(Tabel2[[#This Row],[Tijd  ]:[Omgeving  ]]),0)</f>
        <v>27</v>
      </c>
      <c r="AG91" s="103">
        <f>VLOOKUP(Tabel2[[#This Row],[Kans  ]],KWANTIFICEERTABELLEN!$B$19:$J$26,8,FALSE())</f>
        <v>0.2</v>
      </c>
      <c r="AH91"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7500</v>
      </c>
      <c r="AI91" s="104">
        <f>IFERROR(Tabel2[[#This Row],[Kans   ]]*Tabel2[[#This Row],[Rekenwaarde kosten]],0)</f>
        <v>1500</v>
      </c>
      <c r="AJ91"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1 - 2 weken</v>
      </c>
    </row>
    <row r="92" spans="2:36" ht="38.25" customHeight="1" x14ac:dyDescent="0.3">
      <c r="B92" s="100">
        <v>92</v>
      </c>
      <c r="C92" s="135" t="s">
        <v>574</v>
      </c>
      <c r="D92" s="52" t="s">
        <v>305</v>
      </c>
      <c r="E92" s="52" t="s">
        <v>306</v>
      </c>
      <c r="F92" s="52" t="s">
        <v>307</v>
      </c>
      <c r="G92" s="109"/>
      <c r="H92" s="42" t="s">
        <v>76</v>
      </c>
      <c r="I92" s="36" t="s">
        <v>77</v>
      </c>
      <c r="J92" s="36" t="s">
        <v>55</v>
      </c>
      <c r="K92" s="36" t="s">
        <v>8</v>
      </c>
      <c r="L92" s="39"/>
      <c r="M92" s="40"/>
      <c r="N92" s="40"/>
      <c r="O92" s="40"/>
      <c r="P92" s="40"/>
      <c r="Q92" s="40"/>
      <c r="R92" s="102">
        <f>IFERROR(Tabel2[[#This Row],[Kans]]*SUM(Tabel2[[#This Row],[Tijd]:[Omgeving]]),0)</f>
        <v>0</v>
      </c>
      <c r="S92" s="103" t="e">
        <f>IF(F$2&lt;KWANTIFICEERTABELLEN!B$17,_xlfn.XLOOKUP(Tabel2[[#This Row],[Kans]],KWANTIFICEERTABELLEN!$B$6:$B$13,KWANTIFICEERTABELLEN!I$6:I$13,),
IF(AND(F$2&gt;KWANTIFICEERTABELLEN!B$17,$F$2&lt;KWANTIFICEERTABELLEN!B$30),_xlfn.XLOOKUP(Tabel2[[#This Row],[Kans]],KWANTIFICEERTABELLEN!$B$19:$B$26,KWANTIFICEERTABELLEN!I$19:I$26),
IF(F$2&gt;KWANTIFICEERTABELLEN!B$30,_xlfn.XLOOKUP(Tabel2[[#This Row],[Kans]],KWANTIFICEERTABELLEN!$B$32:$B$39,KWANTIFICEERTABELLEN!I$32:I$39))))</f>
        <v>#N/A</v>
      </c>
      <c r="T92" s="116"/>
      <c r="U92" s="116"/>
      <c r="V92" s="117" t="s">
        <v>308</v>
      </c>
      <c r="W92" s="42"/>
      <c r="X92" s="48"/>
      <c r="Y92" s="50"/>
      <c r="Z92" s="44">
        <v>3</v>
      </c>
      <c r="AA92" s="44">
        <v>4</v>
      </c>
      <c r="AB92" s="44">
        <v>3</v>
      </c>
      <c r="AC92" s="44">
        <v>2</v>
      </c>
      <c r="AD92" s="44">
        <v>0</v>
      </c>
      <c r="AE92" s="44">
        <v>0</v>
      </c>
      <c r="AF92" s="102">
        <f>IFERROR(Tabel2[[#This Row],[Kans  ]]*SUM(Tabel2[[#This Row],[Tijd  ]:[Omgeving  ]]),0)</f>
        <v>27</v>
      </c>
      <c r="AG92" s="103">
        <f>IF(F$2&lt;KWANTIFICEERTABELLEN!B$17,_xlfn.XLOOKUP(Tabel2[[#This Row],[Kans  ]],KWANTIFICEERTABELLEN!$B$6:$B$13,KWANTIFICEERTABELLEN!I$6:I$13,),
IF(AND(F$2&gt;KWANTIFICEERTABELLEN!B$17,$F$2&lt;KWANTIFICEERTABELLEN!B$30),_xlfn.XLOOKUP(Tabel2[[#This Row],[Kans  ]],KWANTIFICEERTABELLEN!$B$19:$B$26,KWANTIFICEERTABELLEN!I$19:I$26),
IF(F$2&gt;KWANTIFICEERTABELLEN!B$30,_xlfn.XLOOKUP(Tabel2[[#This Row],[Kans  ]],KWANTIFICEERTABELLEN!$B$32:$B$39,KWANTIFICEERTABELLEN!I$32:I$39))))</f>
        <v>0.2</v>
      </c>
      <c r="AH92" s="106">
        <f>IF(F$2&lt;KWANTIFICEERTABELLEN!B$17,_xlfn.XLOOKUP(Tabel2[[#This Row],[Geld  ]],KWANTIFICEERTABELLEN!$B$6:$B$13,KWANTIFICEERTABELLEN!J$6:J$13,),
IF(AND(F$2&gt;KWANTIFICEERTABELLEN!B$17,$F$2&lt;KWANTIFICEERTABELLEN!B$30),_xlfn.XLOOKUP(Tabel2[[#This Row],[Geld  ]],KWANTIFICEERTABELLEN!$B$19:$B$26,KWANTIFICEERTABELLEN!J$19:J$26),
IF(F$2&gt;KWANTIFICEERTABELLEN!B$30,_xlfn.XLOOKUP(Tabel2[[#This Row],[Geld  ]],KWANTIFICEERTABELLEN!$B$32:$B$39,KWANTIFICEERTABELLEN!J$32:J$39))))</f>
        <v>17500</v>
      </c>
      <c r="AI92" s="104">
        <f>IFERROR(Tabel2[[#This Row],[Kans   ]]*Tabel2[[#This Row],[Rekenwaarde kosten]],0)</f>
        <v>3500</v>
      </c>
      <c r="AJ92"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2 - 4 weken</v>
      </c>
    </row>
    <row r="93" spans="2:36" ht="76.5" customHeight="1" x14ac:dyDescent="0.3">
      <c r="B93" s="100">
        <v>52</v>
      </c>
      <c r="C93" s="135" t="s">
        <v>575</v>
      </c>
      <c r="D93" s="52" t="s">
        <v>309</v>
      </c>
      <c r="E93" s="52" t="s">
        <v>310</v>
      </c>
      <c r="F93" s="52" t="s">
        <v>311</v>
      </c>
      <c r="G93" s="109"/>
      <c r="H93" s="42" t="s">
        <v>76</v>
      </c>
      <c r="I93" s="36" t="s">
        <v>5</v>
      </c>
      <c r="J93" s="36" t="s">
        <v>55</v>
      </c>
      <c r="K93" s="36" t="s">
        <v>7</v>
      </c>
      <c r="L93" s="39"/>
      <c r="M93" s="40"/>
      <c r="N93" s="40"/>
      <c r="O93" s="40"/>
      <c r="P93" s="40"/>
      <c r="Q93" s="40"/>
      <c r="R93" s="102">
        <f>IFERROR(Tabel2[[#This Row],[Kans]]*SUM(Tabel2[[#This Row],[Tijd]:[Omgeving]]),0)</f>
        <v>0</v>
      </c>
      <c r="S93" s="115"/>
      <c r="T93" s="116"/>
      <c r="U93" s="116"/>
      <c r="V93" s="117" t="s">
        <v>312</v>
      </c>
      <c r="W93" s="42" t="s">
        <v>313</v>
      </c>
      <c r="X93" s="48" t="s">
        <v>594</v>
      </c>
      <c r="Y93" s="50"/>
      <c r="Z93" s="44">
        <v>4</v>
      </c>
      <c r="AA93" s="44">
        <v>3</v>
      </c>
      <c r="AB93" s="44">
        <v>2</v>
      </c>
      <c r="AC93" s="44">
        <v>1</v>
      </c>
      <c r="AD93" s="44">
        <v>0</v>
      </c>
      <c r="AE93" s="44">
        <v>0</v>
      </c>
      <c r="AF93" s="102">
        <f>IFERROR(Tabel2[[#This Row],[Kans  ]]*SUM(Tabel2[[#This Row],[Tijd  ]:[Omgeving  ]]),0)</f>
        <v>24</v>
      </c>
      <c r="AG93" s="103">
        <f>VLOOKUP(Tabel2[[#This Row],[Kans  ]],KWANTIFICEERTABELLEN!$B$19:$J$26,8,FALSE())</f>
        <v>0.3</v>
      </c>
      <c r="AH93"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7500</v>
      </c>
      <c r="AI93" s="104">
        <f>IFERROR(Tabel2[[#This Row],[Kans   ]]*Tabel2[[#This Row],[Rekenwaarde kosten]],0)</f>
        <v>2250</v>
      </c>
      <c r="AJ93"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1 - 2 weken</v>
      </c>
    </row>
    <row r="94" spans="2:36" ht="38.25" customHeight="1" x14ac:dyDescent="0.3">
      <c r="B94" s="100">
        <v>67</v>
      </c>
      <c r="C94" s="135" t="s">
        <v>574</v>
      </c>
      <c r="D94" s="52" t="s">
        <v>259</v>
      </c>
      <c r="E94" s="52" t="s">
        <v>260</v>
      </c>
      <c r="F94" s="52" t="s">
        <v>261</v>
      </c>
      <c r="G94" s="109"/>
      <c r="H94" s="43" t="s">
        <v>96</v>
      </c>
      <c r="I94" s="36" t="s">
        <v>77</v>
      </c>
      <c r="J94" s="36" t="s">
        <v>64</v>
      </c>
      <c r="K94" s="36" t="s">
        <v>8</v>
      </c>
      <c r="L94" s="39">
        <v>6</v>
      </c>
      <c r="M94" s="40">
        <v>1</v>
      </c>
      <c r="N94" s="40">
        <v>1</v>
      </c>
      <c r="O94" s="40">
        <v>3</v>
      </c>
      <c r="P94" s="40">
        <v>0</v>
      </c>
      <c r="Q94" s="40">
        <v>0</v>
      </c>
      <c r="R94" s="102">
        <f>IFERROR(Tabel2[[#This Row],[Kans]]*SUM(Tabel2[[#This Row],[Tijd]:[Omgeving]]),0)</f>
        <v>30</v>
      </c>
      <c r="S94" s="103">
        <f>IF(F$2&lt;KWANTIFICEERTABELLEN!B$17,_xlfn.XLOOKUP(Tabel2[[#This Row],[Kans]],KWANTIFICEERTABELLEN!$B$6:$B$13,KWANTIFICEERTABELLEN!I$6:I$13,),
IF(AND(F$2&gt;KWANTIFICEERTABELLEN!B$17,$F$2&lt;KWANTIFICEERTABELLEN!B$30),_xlfn.XLOOKUP(Tabel2[[#This Row],[Kans]],KWANTIFICEERTABELLEN!$B$19:$B$26,KWANTIFICEERTABELLEN!I$19:I$26),
IF(F$2&gt;KWANTIFICEERTABELLEN!B$30,_xlfn.XLOOKUP(Tabel2[[#This Row],[Kans]],KWANTIFICEERTABELLEN!$B$32:$B$39,KWANTIFICEERTABELLEN!I$32:I$39))))</f>
        <v>0.5</v>
      </c>
      <c r="T94" s="116"/>
      <c r="U94" s="116"/>
      <c r="V94" s="117" t="s">
        <v>262</v>
      </c>
      <c r="W94" s="42"/>
      <c r="X94" s="48"/>
      <c r="Y94" s="50"/>
      <c r="Z94" s="44">
        <v>6</v>
      </c>
      <c r="AA94" s="44">
        <v>0</v>
      </c>
      <c r="AB94" s="44">
        <v>1</v>
      </c>
      <c r="AC94" s="44">
        <v>3</v>
      </c>
      <c r="AD94" s="44">
        <v>0</v>
      </c>
      <c r="AE94" s="44">
        <v>0</v>
      </c>
      <c r="AF94" s="102">
        <f>IFERROR(Tabel2[[#This Row],[Kans  ]]*SUM(Tabel2[[#This Row],[Tijd  ]:[Omgeving  ]]),0)</f>
        <v>24</v>
      </c>
      <c r="AG94" s="103">
        <f>IF(F$2&lt;KWANTIFICEERTABELLEN!B$17,_xlfn.XLOOKUP(Tabel2[[#This Row],[Kans  ]],KWANTIFICEERTABELLEN!$B$6:$B$13,KWANTIFICEERTABELLEN!I$6:I$13,),
IF(AND(F$2&gt;KWANTIFICEERTABELLEN!B$17,$F$2&lt;KWANTIFICEERTABELLEN!B$30),_xlfn.XLOOKUP(Tabel2[[#This Row],[Kans  ]],KWANTIFICEERTABELLEN!$B$19:$B$26,KWANTIFICEERTABELLEN!I$19:I$26),
IF(F$2&gt;KWANTIFICEERTABELLEN!B$30,_xlfn.XLOOKUP(Tabel2[[#This Row],[Kans  ]],KWANTIFICEERTABELLEN!$B$32:$B$39,KWANTIFICEERTABELLEN!I$32:I$39))))</f>
        <v>0.5</v>
      </c>
      <c r="AH94" s="106">
        <f>IF(F$2&lt;KWANTIFICEERTABELLEN!B$17,_xlfn.XLOOKUP(Tabel2[[#This Row],[Geld  ]],KWANTIFICEERTABELLEN!$B$6:$B$13,KWANTIFICEERTABELLEN!J$6:J$13,),
IF(AND(F$2&gt;KWANTIFICEERTABELLEN!B$17,$F$2&lt;KWANTIFICEERTABELLEN!B$30),_xlfn.XLOOKUP(Tabel2[[#This Row],[Geld  ]],KWANTIFICEERTABELLEN!$B$19:$B$26,KWANTIFICEERTABELLEN!J$19:J$26),
IF(F$2&gt;KWANTIFICEERTABELLEN!B$30,_xlfn.XLOOKUP(Tabel2[[#This Row],[Geld  ]],KWANTIFICEERTABELLEN!$B$32:$B$39,KWANTIFICEERTABELLEN!J$32:J$39))))</f>
        <v>2500</v>
      </c>
      <c r="AI94" s="104">
        <f>IFERROR(Tabel2[[#This Row],[Kans   ]]*Tabel2[[#This Row],[Rekenwaarde kosten]],0)</f>
        <v>1250</v>
      </c>
      <c r="AJ94"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Geen impact</v>
      </c>
    </row>
    <row r="95" spans="2:36" ht="38.25" customHeight="1" x14ac:dyDescent="0.3">
      <c r="B95" s="100">
        <v>81</v>
      </c>
      <c r="C95" s="135" t="s">
        <v>575</v>
      </c>
      <c r="D95" s="52" t="s">
        <v>314</v>
      </c>
      <c r="E95" s="52" t="s">
        <v>315</v>
      </c>
      <c r="F95" s="52" t="s">
        <v>316</v>
      </c>
      <c r="G95" s="109"/>
      <c r="H95" s="42" t="s">
        <v>76</v>
      </c>
      <c r="I95" s="36" t="s">
        <v>77</v>
      </c>
      <c r="J95" s="36" t="s">
        <v>55</v>
      </c>
      <c r="K95" s="36" t="s">
        <v>8</v>
      </c>
      <c r="L95" s="39"/>
      <c r="M95" s="40"/>
      <c r="N95" s="40"/>
      <c r="O95" s="40"/>
      <c r="P95" s="40"/>
      <c r="Q95" s="40"/>
      <c r="R95" s="102">
        <f>IFERROR(Tabel2[[#This Row],[Kans]]*SUM(Tabel2[[#This Row],[Tijd]:[Omgeving]]),0)</f>
        <v>0</v>
      </c>
      <c r="S95" s="103" t="e">
        <f>IF(F$2&lt;KWANTIFICEERTABELLEN!B$17,_xlfn.XLOOKUP(Tabel2[[#This Row],[Kans]],KWANTIFICEERTABELLEN!$B$6:$B$13,KWANTIFICEERTABELLEN!I$6:I$13,),
IF(AND(F$2&gt;KWANTIFICEERTABELLEN!B$17,$F$2&lt;KWANTIFICEERTABELLEN!B$30),_xlfn.XLOOKUP(Tabel2[[#This Row],[Kans]],KWANTIFICEERTABELLEN!$B$19:$B$26,KWANTIFICEERTABELLEN!I$19:I$26),
IF(F$2&gt;KWANTIFICEERTABELLEN!B$30,_xlfn.XLOOKUP(Tabel2[[#This Row],[Kans]],KWANTIFICEERTABELLEN!$B$32:$B$39,KWANTIFICEERTABELLEN!I$32:I$39))))</f>
        <v>#N/A</v>
      </c>
      <c r="T95" s="116"/>
      <c r="U95" s="116"/>
      <c r="V95" s="117" t="s">
        <v>317</v>
      </c>
      <c r="W95" s="42"/>
      <c r="X95" s="48"/>
      <c r="Y95" s="50"/>
      <c r="Z95" s="44">
        <v>2</v>
      </c>
      <c r="AA95" s="44">
        <v>3</v>
      </c>
      <c r="AB95" s="44">
        <v>3</v>
      </c>
      <c r="AC95" s="44">
        <v>3</v>
      </c>
      <c r="AD95" s="44">
        <v>0</v>
      </c>
      <c r="AE95" s="44">
        <v>3</v>
      </c>
      <c r="AF95" s="102">
        <f>IFERROR(Tabel2[[#This Row],[Kans  ]]*SUM(Tabel2[[#This Row],[Tijd  ]:[Omgeving  ]]),0)</f>
        <v>24</v>
      </c>
      <c r="AG95" s="103">
        <f>IF(F$2&lt;KWANTIFICEERTABELLEN!B$17,_xlfn.XLOOKUP(Tabel2[[#This Row],[Kans  ]],KWANTIFICEERTABELLEN!$B$6:$B$13,KWANTIFICEERTABELLEN!I$6:I$13,),
IF(AND(F$2&gt;KWANTIFICEERTABELLEN!B$17,$F$2&lt;KWANTIFICEERTABELLEN!B$30),_xlfn.XLOOKUP(Tabel2[[#This Row],[Kans  ]],KWANTIFICEERTABELLEN!$B$19:$B$26,KWANTIFICEERTABELLEN!I$19:I$26),
IF(F$2&gt;KWANTIFICEERTABELLEN!B$30,_xlfn.XLOOKUP(Tabel2[[#This Row],[Kans  ]],KWANTIFICEERTABELLEN!$B$32:$B$39,KWANTIFICEERTABELLEN!I$32:I$39))))</f>
        <v>0.1</v>
      </c>
      <c r="AH95" s="106">
        <f>IF(F$2&lt;KWANTIFICEERTABELLEN!B$17,_xlfn.XLOOKUP(Tabel2[[#This Row],[Geld  ]],KWANTIFICEERTABELLEN!$B$6:$B$13,KWANTIFICEERTABELLEN!J$6:J$13,),
IF(AND(F$2&gt;KWANTIFICEERTABELLEN!B$17,$F$2&lt;KWANTIFICEERTABELLEN!B$30),_xlfn.XLOOKUP(Tabel2[[#This Row],[Geld  ]],KWANTIFICEERTABELLEN!$B$19:$B$26,KWANTIFICEERTABELLEN!J$19:J$26),
IF(F$2&gt;KWANTIFICEERTABELLEN!B$30,_xlfn.XLOOKUP(Tabel2[[#This Row],[Geld  ]],KWANTIFICEERTABELLEN!$B$32:$B$39,KWANTIFICEERTABELLEN!J$32:J$39))))</f>
        <v>17500</v>
      </c>
      <c r="AI95" s="104">
        <f>IFERROR(Tabel2[[#This Row],[Kans   ]]*Tabel2[[#This Row],[Rekenwaarde kosten]],0)</f>
        <v>1750</v>
      </c>
      <c r="AJ95"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1 - 2 weken</v>
      </c>
    </row>
    <row r="96" spans="2:36" ht="38.25" customHeight="1" x14ac:dyDescent="0.3">
      <c r="B96" s="100">
        <v>94</v>
      </c>
      <c r="C96" s="135" t="s">
        <v>574</v>
      </c>
      <c r="D96" s="52" t="s">
        <v>433</v>
      </c>
      <c r="E96" s="52" t="s">
        <v>434</v>
      </c>
      <c r="F96" s="52" t="s">
        <v>435</v>
      </c>
      <c r="G96" s="109" t="s">
        <v>431</v>
      </c>
      <c r="H96" s="42" t="s">
        <v>76</v>
      </c>
      <c r="I96" s="36" t="s">
        <v>77</v>
      </c>
      <c r="J96" s="36" t="s">
        <v>55</v>
      </c>
      <c r="K96" s="36" t="s">
        <v>8</v>
      </c>
      <c r="L96" s="39"/>
      <c r="M96" s="40"/>
      <c r="N96" s="40"/>
      <c r="O96" s="40"/>
      <c r="P96" s="40"/>
      <c r="Q96" s="40"/>
      <c r="R96" s="102">
        <f>IFERROR(Tabel2[[#This Row],[Kans]]*SUM(Tabel2[[#This Row],[Tijd]:[Omgeving]]),0)</f>
        <v>0</v>
      </c>
      <c r="S96" s="103" t="e">
        <f>IF(F$2&lt;KWANTIFICEERTABELLEN!B$17,_xlfn.XLOOKUP(Tabel2[[#This Row],[Kans]],KWANTIFICEERTABELLEN!$B$6:$B$13,KWANTIFICEERTABELLEN!I$6:I$13,),IF(AND(F$2&gt;KWANTIFICEERTABELLEN!B$17,$F$2&lt;KWANTIFICEERTABELLEN!B$30),_xlfn.XLOOKUP(Tabel2[[#This Row],[Kans]],KWANTIFICEERTABELLEN!$B$19:$B$26,KWANTIFICEERTABELLEN!I$19:I$26),IF(F$2&gt;KWANTIFICEERTABELLEN!B$30,_xlfn.XLOOKUP(Tabel2[[#This Row],[Kans]],KWANTIFICEERTABELLEN!$B$32:$B$39,KWANTIFICEERTABELLEN!I$32:I$39))))</f>
        <v>#N/A</v>
      </c>
      <c r="T96" s="116"/>
      <c r="U96" s="116">
        <f>IFERROR(Tabel2[[#This Row],[Kans ]]*Tabel2[[#This Row],[Geld ]],0)</f>
        <v>0</v>
      </c>
      <c r="V96" s="117" t="s">
        <v>436</v>
      </c>
      <c r="W96" s="42"/>
      <c r="X96" s="48"/>
      <c r="Y96" s="50"/>
      <c r="Z96" s="44">
        <v>3</v>
      </c>
      <c r="AA96" s="44">
        <v>2</v>
      </c>
      <c r="AB96" s="44">
        <v>2</v>
      </c>
      <c r="AC96" s="44">
        <v>0</v>
      </c>
      <c r="AD96" s="44">
        <v>3</v>
      </c>
      <c r="AE96" s="44">
        <v>1</v>
      </c>
      <c r="AF96" s="102">
        <f>IFERROR(Tabel2[[#This Row],[Kans  ]]*SUM(Tabel2[[#This Row],[Tijd  ]:[Omgeving  ]]),0)</f>
        <v>24</v>
      </c>
      <c r="AG96" s="103">
        <f>IF(F$2&lt;KWANTIFICEERTABELLEN!B$17,_xlfn.XLOOKUP(Tabel2[[#This Row],[Kans  ]],KWANTIFICEERTABELLEN!$B$6:$B$13,KWANTIFICEERTABELLEN!I$6:I$13,),IF(AND(F$2&gt;KWANTIFICEERTABELLEN!B$17,$F$2&lt;KWANTIFICEERTABELLEN!B$30),_xlfn.XLOOKUP(Tabel2[[#This Row],[Kans  ]],KWANTIFICEERTABELLEN!$B$19:$B$26,KWANTIFICEERTABELLEN!I$19:I$26),IF(F$2&gt;KWANTIFICEERTABELLEN!B$30,_xlfn.XLOOKUP(Tabel2[[#This Row],[Kans  ]],KWANTIFICEERTABELLEN!$B$32:$B$39,KWANTIFICEERTABELLEN!I$32:I$39))))</f>
        <v>0.2</v>
      </c>
      <c r="AH96" s="106">
        <f>IF(F$2&lt;KWANTIFICEERTABELLEN!B$17,_xlfn.XLOOKUP(Tabel2[[#This Row],[Geld  ]],KWANTIFICEERTABELLEN!$B$6:$B$13,KWANTIFICEERTABELLEN!J$6:J$13,),IF(AND(F$2&gt;KWANTIFICEERTABELLEN!B$17,$F$2&lt;KWANTIFICEERTABELLEN!B$30),_xlfn.XLOOKUP(Tabel2[[#This Row],[Geld  ]],KWANTIFICEERTABELLEN!$B$19:$B$26,KWANTIFICEERTABELLEN!J$19:J$26),IF(F$2&gt;KWANTIFICEERTABELLEN!B$30,_xlfn.XLOOKUP(Tabel2[[#This Row],[Geld  ]],KWANTIFICEERTABELLEN!$B$32:$B$39,KWANTIFICEERTABELLEN!J$32:J$39))))</f>
        <v>7500</v>
      </c>
      <c r="AI96" s="104">
        <f>IFERROR(Tabel2[[#This Row],[Kans   ]]*Tabel2[[#This Row],[Rekenwaarde kosten]],0)</f>
        <v>1500</v>
      </c>
      <c r="AJ96" s="107" t="str">
        <f>IF(F$2&lt;KWANTIFICEERTABELLEN!B$4,VLOOKUP(Tabel2[[#This Row],[Tijd  ]],KWANTIFICEERTABELLEN!$B$6:$D$13,3,FALSE()),IF(AND(F$2&gt;KWANTIFICEERTABELLEN!B$4,$F$2&lt;KWANTIFICEERTABELLEN!B$30),VLOOKUP(Tabel2[[#This Row],[Tijd  ]],KWANTIFICEERTABELLEN!$B$19:$D$26,3,FALSE()),IF(F$2&gt;KWANTIFICEERTABELLEN!B$30,VLOOKUP(Tabel2[[#This Row],[Tijd  ]],KWANTIFICEERTABELLEN!$B$32:$D$39,3,FALSE()),)))</f>
        <v>0.5 - 1 weken</v>
      </c>
    </row>
    <row r="97" spans="2:36" ht="149.25" customHeight="1" x14ac:dyDescent="0.3">
      <c r="B97" s="100">
        <v>63</v>
      </c>
      <c r="C97" s="135" t="s">
        <v>575</v>
      </c>
      <c r="D97" s="52" t="s">
        <v>321</v>
      </c>
      <c r="E97" s="52" t="s">
        <v>322</v>
      </c>
      <c r="F97" s="52" t="s">
        <v>323</v>
      </c>
      <c r="G97" s="109"/>
      <c r="H97" s="42" t="s">
        <v>76</v>
      </c>
      <c r="I97" s="36" t="s">
        <v>5</v>
      </c>
      <c r="J97" s="36" t="s">
        <v>64</v>
      </c>
      <c r="K97" s="36" t="s">
        <v>278</v>
      </c>
      <c r="L97" s="39"/>
      <c r="M97" s="40"/>
      <c r="N97" s="40"/>
      <c r="O97" s="40"/>
      <c r="P97" s="40"/>
      <c r="Q97" s="40"/>
      <c r="R97" s="102">
        <f>IFERROR(Tabel2[[#This Row],[Kans]]*SUM(Tabel2[[#This Row],[Tijd]:[Omgeving]]),0)</f>
        <v>0</v>
      </c>
      <c r="S97" s="115"/>
      <c r="T97" s="116"/>
      <c r="U97" s="116"/>
      <c r="V97" s="117" t="s">
        <v>324</v>
      </c>
      <c r="W97" s="42" t="s">
        <v>325</v>
      </c>
      <c r="X97" s="48" t="s">
        <v>593</v>
      </c>
      <c r="Y97" s="50"/>
      <c r="Z97" s="44">
        <v>3</v>
      </c>
      <c r="AA97" s="44">
        <v>3</v>
      </c>
      <c r="AB97" s="44">
        <v>3</v>
      </c>
      <c r="AC97" s="44">
        <v>0</v>
      </c>
      <c r="AD97" s="44">
        <v>0</v>
      </c>
      <c r="AE97" s="44">
        <v>1</v>
      </c>
      <c r="AF97" s="102">
        <f>IFERROR(Tabel2[[#This Row],[Kans  ]]*SUM(Tabel2[[#This Row],[Tijd  ]:[Omgeving  ]]),0)</f>
        <v>21</v>
      </c>
      <c r="AG97" s="103">
        <f>VLOOKUP(Tabel2[[#This Row],[Kans  ]],KWANTIFICEERTABELLEN!$B$19:$J$26,8,FALSE())</f>
        <v>0.2</v>
      </c>
      <c r="AH97"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17500</v>
      </c>
      <c r="AI97" s="104">
        <f>IFERROR(Tabel2[[#This Row],[Kans   ]]*Tabel2[[#This Row],[Rekenwaarde kosten]],0)</f>
        <v>3500</v>
      </c>
      <c r="AJ97"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1 - 2 weken</v>
      </c>
    </row>
    <row r="98" spans="2:36" ht="38.25" customHeight="1" x14ac:dyDescent="0.3">
      <c r="B98" s="100">
        <v>72</v>
      </c>
      <c r="C98" s="135" t="s">
        <v>575</v>
      </c>
      <c r="D98" s="52" t="s">
        <v>326</v>
      </c>
      <c r="E98" s="52" t="s">
        <v>327</v>
      </c>
      <c r="F98" s="52" t="s">
        <v>328</v>
      </c>
      <c r="G98" s="109"/>
      <c r="H98" s="42" t="s">
        <v>76</v>
      </c>
      <c r="I98" s="36" t="s">
        <v>77</v>
      </c>
      <c r="J98" s="36" t="s">
        <v>55</v>
      </c>
      <c r="K98" s="36" t="s">
        <v>8</v>
      </c>
      <c r="L98" s="39"/>
      <c r="M98" s="40"/>
      <c r="N98" s="40"/>
      <c r="O98" s="40"/>
      <c r="P98" s="40"/>
      <c r="Q98" s="40"/>
      <c r="R98" s="102">
        <f>IFERROR(Tabel2[[#This Row],[Kans]]*SUM(Tabel2[[#This Row],[Tijd]:[Omgeving]]),0)</f>
        <v>0</v>
      </c>
      <c r="S98" s="103" t="e">
        <f>IF(F$2&lt;KWANTIFICEERTABELLEN!B$17,_xlfn.XLOOKUP(Tabel2[[#This Row],[Kans]],KWANTIFICEERTABELLEN!$B$6:$B$13,KWANTIFICEERTABELLEN!I$6:I$13,),
IF(AND(F$2&gt;KWANTIFICEERTABELLEN!B$17,$F$2&lt;KWANTIFICEERTABELLEN!B$30),_xlfn.XLOOKUP(Tabel2[[#This Row],[Kans]],KWANTIFICEERTABELLEN!$B$19:$B$26,KWANTIFICEERTABELLEN!I$19:I$26),
IF(F$2&gt;KWANTIFICEERTABELLEN!B$30,_xlfn.XLOOKUP(Tabel2[[#This Row],[Kans]],KWANTIFICEERTABELLEN!$B$32:$B$39,KWANTIFICEERTABELLEN!I$32:I$39))))</f>
        <v>#N/A</v>
      </c>
      <c r="T98" s="116"/>
      <c r="U98" s="116"/>
      <c r="V98" s="117" t="s">
        <v>329</v>
      </c>
      <c r="W98" s="42"/>
      <c r="X98" s="48"/>
      <c r="Y98" s="50"/>
      <c r="Z98" s="44">
        <v>2</v>
      </c>
      <c r="AA98" s="44">
        <v>3</v>
      </c>
      <c r="AB98" s="44">
        <v>4</v>
      </c>
      <c r="AC98" s="44">
        <v>2</v>
      </c>
      <c r="AD98" s="44">
        <v>0</v>
      </c>
      <c r="AE98" s="44">
        <v>1</v>
      </c>
      <c r="AF98" s="102">
        <f>IFERROR(Tabel2[[#This Row],[Kans  ]]*SUM(Tabel2[[#This Row],[Tijd  ]:[Omgeving  ]]),0)</f>
        <v>20</v>
      </c>
      <c r="AG98" s="103">
        <f>IF(F$2&lt;KWANTIFICEERTABELLEN!B$17,_xlfn.XLOOKUP(Tabel2[[#This Row],[Kans  ]],KWANTIFICEERTABELLEN!$B$6:$B$13,KWANTIFICEERTABELLEN!I$6:I$13,),
IF(AND(F$2&gt;KWANTIFICEERTABELLEN!B$17,$F$2&lt;KWANTIFICEERTABELLEN!B$30),_xlfn.XLOOKUP(Tabel2[[#This Row],[Kans  ]],KWANTIFICEERTABELLEN!$B$19:$B$26,KWANTIFICEERTABELLEN!I$19:I$26),
IF(F$2&gt;KWANTIFICEERTABELLEN!B$30,_xlfn.XLOOKUP(Tabel2[[#This Row],[Kans  ]],KWANTIFICEERTABELLEN!$B$32:$B$39,KWANTIFICEERTABELLEN!I$32:I$39))))</f>
        <v>0.1</v>
      </c>
      <c r="AH98" s="106">
        <f>IF(F$2&lt;KWANTIFICEERTABELLEN!B$17,_xlfn.XLOOKUP(Tabel2[[#This Row],[Geld  ]],KWANTIFICEERTABELLEN!$B$6:$B$13,KWANTIFICEERTABELLEN!J$6:J$13,),
IF(AND(F$2&gt;KWANTIFICEERTABELLEN!B$17,$F$2&lt;KWANTIFICEERTABELLEN!B$30),_xlfn.XLOOKUP(Tabel2[[#This Row],[Geld  ]],KWANTIFICEERTABELLEN!$B$19:$B$26,KWANTIFICEERTABELLEN!J$19:J$26),
IF(F$2&gt;KWANTIFICEERTABELLEN!B$30,_xlfn.XLOOKUP(Tabel2[[#This Row],[Geld  ]],KWANTIFICEERTABELLEN!$B$32:$B$39,KWANTIFICEERTABELLEN!J$32:J$39))))</f>
        <v>37500</v>
      </c>
      <c r="AI98" s="104">
        <f>IFERROR(Tabel2[[#This Row],[Kans   ]]*Tabel2[[#This Row],[Rekenwaarde kosten]],0)</f>
        <v>3750</v>
      </c>
      <c r="AJ98"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1 - 2 weken</v>
      </c>
    </row>
    <row r="99" spans="2:36" ht="38.25" customHeight="1" x14ac:dyDescent="0.3">
      <c r="B99" s="100">
        <v>78</v>
      </c>
      <c r="C99" s="135" t="s">
        <v>575</v>
      </c>
      <c r="D99" s="52" t="s">
        <v>330</v>
      </c>
      <c r="E99" s="52" t="s">
        <v>331</v>
      </c>
      <c r="F99" s="52" t="s">
        <v>332</v>
      </c>
      <c r="G99" s="109"/>
      <c r="H99" s="42" t="s">
        <v>76</v>
      </c>
      <c r="I99" s="36" t="s">
        <v>77</v>
      </c>
      <c r="J99" s="36" t="s">
        <v>55</v>
      </c>
      <c r="K99" s="36" t="s">
        <v>8</v>
      </c>
      <c r="L99" s="39"/>
      <c r="M99" s="40"/>
      <c r="N99" s="40"/>
      <c r="O99" s="40"/>
      <c r="P99" s="40"/>
      <c r="Q99" s="40"/>
      <c r="R99" s="102">
        <f>IFERROR(Tabel2[[#This Row],[Kans]]*SUM(Tabel2[[#This Row],[Tijd]:[Omgeving]]),0)</f>
        <v>0</v>
      </c>
      <c r="S99" s="103" t="e">
        <f>IF(F$2&lt;KWANTIFICEERTABELLEN!B$17,_xlfn.XLOOKUP(Tabel2[[#This Row],[Kans]],KWANTIFICEERTABELLEN!$B$6:$B$13,KWANTIFICEERTABELLEN!I$6:I$13,),
IF(AND(F$2&gt;KWANTIFICEERTABELLEN!B$17,$F$2&lt;KWANTIFICEERTABELLEN!B$30),_xlfn.XLOOKUP(Tabel2[[#This Row],[Kans]],KWANTIFICEERTABELLEN!$B$19:$B$26,KWANTIFICEERTABELLEN!I$19:I$26),
IF(F$2&gt;KWANTIFICEERTABELLEN!B$30,_xlfn.XLOOKUP(Tabel2[[#This Row],[Kans]],KWANTIFICEERTABELLEN!$B$32:$B$39,KWANTIFICEERTABELLEN!I$32:I$39))))</f>
        <v>#N/A</v>
      </c>
      <c r="T99" s="116"/>
      <c r="U99" s="116"/>
      <c r="V99" s="117" t="s">
        <v>333</v>
      </c>
      <c r="W99" s="42"/>
      <c r="X99" s="48"/>
      <c r="Y99" s="50"/>
      <c r="Z99" s="44">
        <v>2</v>
      </c>
      <c r="AA99" s="44">
        <v>2</v>
      </c>
      <c r="AB99" s="44">
        <v>2</v>
      </c>
      <c r="AC99" s="44">
        <v>2</v>
      </c>
      <c r="AD99" s="44">
        <v>0</v>
      </c>
      <c r="AE99" s="44">
        <v>3</v>
      </c>
      <c r="AF99" s="102">
        <f>IFERROR(Tabel2[[#This Row],[Kans  ]]*SUM(Tabel2[[#This Row],[Tijd  ]:[Omgeving  ]]),0)</f>
        <v>18</v>
      </c>
      <c r="AG99" s="103">
        <f>IF(F$2&lt;KWANTIFICEERTABELLEN!B$17,_xlfn.XLOOKUP(Tabel2[[#This Row],[Kans  ]],KWANTIFICEERTABELLEN!$B$6:$B$13,KWANTIFICEERTABELLEN!I$6:I$13,),
IF(AND(F$2&gt;KWANTIFICEERTABELLEN!B$17,$F$2&lt;KWANTIFICEERTABELLEN!B$30),_xlfn.XLOOKUP(Tabel2[[#This Row],[Kans  ]],KWANTIFICEERTABELLEN!$B$19:$B$26,KWANTIFICEERTABELLEN!I$19:I$26),
IF(F$2&gt;KWANTIFICEERTABELLEN!B$30,_xlfn.XLOOKUP(Tabel2[[#This Row],[Kans  ]],KWANTIFICEERTABELLEN!$B$32:$B$39,KWANTIFICEERTABELLEN!I$32:I$39))))</f>
        <v>0.1</v>
      </c>
      <c r="AH99" s="106">
        <f>IF(F$2&lt;KWANTIFICEERTABELLEN!B$17,_xlfn.XLOOKUP(Tabel2[[#This Row],[Geld  ]],KWANTIFICEERTABELLEN!$B$6:$B$13,KWANTIFICEERTABELLEN!J$6:J$13,),
IF(AND(F$2&gt;KWANTIFICEERTABELLEN!B$17,$F$2&lt;KWANTIFICEERTABELLEN!B$30),_xlfn.XLOOKUP(Tabel2[[#This Row],[Geld  ]],KWANTIFICEERTABELLEN!$B$19:$B$26,KWANTIFICEERTABELLEN!J$19:J$26),
IF(F$2&gt;KWANTIFICEERTABELLEN!B$30,_xlfn.XLOOKUP(Tabel2[[#This Row],[Geld  ]],KWANTIFICEERTABELLEN!$B$32:$B$39,KWANTIFICEERTABELLEN!J$32:J$39))))</f>
        <v>7500</v>
      </c>
      <c r="AI99" s="104">
        <f>IFERROR(Tabel2[[#This Row],[Kans   ]]*Tabel2[[#This Row],[Rekenwaarde kosten]],0)</f>
        <v>750</v>
      </c>
      <c r="AJ99"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0.5 - 1 weken</v>
      </c>
    </row>
    <row r="100" spans="2:36" ht="38.25" customHeight="1" x14ac:dyDescent="0.3">
      <c r="B100" s="100">
        <v>47</v>
      </c>
      <c r="C100" s="135" t="s">
        <v>573</v>
      </c>
      <c r="D100" s="52" t="s">
        <v>334</v>
      </c>
      <c r="E100" s="52" t="s">
        <v>335</v>
      </c>
      <c r="F100" s="52" t="s">
        <v>336</v>
      </c>
      <c r="G100" s="109"/>
      <c r="H100" s="42" t="s">
        <v>54</v>
      </c>
      <c r="I100" s="36" t="s">
        <v>63</v>
      </c>
      <c r="J100" s="36" t="s">
        <v>64</v>
      </c>
      <c r="K100" s="36" t="s">
        <v>7</v>
      </c>
      <c r="L100" s="39">
        <v>4</v>
      </c>
      <c r="M100" s="40">
        <v>3</v>
      </c>
      <c r="N100" s="40">
        <v>2</v>
      </c>
      <c r="O100" s="40">
        <v>0</v>
      </c>
      <c r="P100" s="40">
        <v>0</v>
      </c>
      <c r="Q100" s="40">
        <v>4</v>
      </c>
      <c r="R100" s="102">
        <f>IFERROR(Tabel2[[#This Row],[Kans]]*SUM(Tabel2[[#This Row],[Tijd]:[Omgeving]]),0)</f>
        <v>36</v>
      </c>
      <c r="S100" s="115"/>
      <c r="T100" s="116"/>
      <c r="U100" s="116"/>
      <c r="V100" s="105" t="s">
        <v>337</v>
      </c>
      <c r="W100" s="42" t="s">
        <v>338</v>
      </c>
      <c r="X100" s="48" t="s">
        <v>339</v>
      </c>
      <c r="Y100" s="50" t="s">
        <v>340</v>
      </c>
      <c r="Z100" s="39">
        <v>4</v>
      </c>
      <c r="AA100" s="40">
        <v>2</v>
      </c>
      <c r="AB100" s="40">
        <v>2</v>
      </c>
      <c r="AC100" s="40">
        <v>0</v>
      </c>
      <c r="AD100" s="40">
        <v>0</v>
      </c>
      <c r="AE100" s="40">
        <v>0</v>
      </c>
      <c r="AF100" s="102">
        <f>IFERROR(Tabel2[[#This Row],[Kans  ]]*SUM(Tabel2[[#This Row],[Tijd  ]:[Omgeving  ]]),0)</f>
        <v>16</v>
      </c>
      <c r="AG100" s="103">
        <f>VLOOKUP(Tabel2[[#This Row],[Kans  ]],KWANTIFICEERTABELLEN!$B$19:$J$26,8,FALSE())</f>
        <v>0.3</v>
      </c>
      <c r="AH100"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7500</v>
      </c>
      <c r="AI100" s="104">
        <f>IFERROR(Tabel2[[#This Row],[Kans   ]]*Tabel2[[#This Row],[Rekenwaarde kosten]],0)</f>
        <v>2250</v>
      </c>
      <c r="AJ100"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0.5 - 1 weken</v>
      </c>
    </row>
    <row r="101" spans="2:36" ht="38.25" customHeight="1" x14ac:dyDescent="0.3">
      <c r="B101" s="100">
        <v>80</v>
      </c>
      <c r="C101" s="135" t="s">
        <v>575</v>
      </c>
      <c r="D101" s="52" t="s">
        <v>341</v>
      </c>
      <c r="E101" s="52" t="s">
        <v>342</v>
      </c>
      <c r="F101" s="52" t="s">
        <v>343</v>
      </c>
      <c r="G101" s="109"/>
      <c r="H101" s="42" t="s">
        <v>76</v>
      </c>
      <c r="I101" s="36" t="s">
        <v>77</v>
      </c>
      <c r="J101" s="36" t="s">
        <v>64</v>
      </c>
      <c r="K101" s="36" t="s">
        <v>8</v>
      </c>
      <c r="L101" s="39"/>
      <c r="M101" s="40"/>
      <c r="N101" s="40"/>
      <c r="O101" s="40"/>
      <c r="P101" s="40"/>
      <c r="Q101" s="40"/>
      <c r="R101" s="102">
        <f>IFERROR(Tabel2[[#This Row],[Kans]]*SUM(Tabel2[[#This Row],[Tijd]:[Omgeving]]),0)</f>
        <v>0</v>
      </c>
      <c r="S101" s="103" t="e">
        <f>IF(F$2&lt;KWANTIFICEERTABELLEN!B$17,_xlfn.XLOOKUP(Tabel2[[#This Row],[Kans]],KWANTIFICEERTABELLEN!$B$6:$B$13,KWANTIFICEERTABELLEN!I$6:I$13,),
IF(AND(F$2&gt;KWANTIFICEERTABELLEN!B$17,$F$2&lt;KWANTIFICEERTABELLEN!B$30),_xlfn.XLOOKUP(Tabel2[[#This Row],[Kans]],KWANTIFICEERTABELLEN!$B$19:$B$26,KWANTIFICEERTABELLEN!I$19:I$26),
IF(F$2&gt;KWANTIFICEERTABELLEN!B$30,_xlfn.XLOOKUP(Tabel2[[#This Row],[Kans]],KWANTIFICEERTABELLEN!$B$32:$B$39,KWANTIFICEERTABELLEN!I$32:I$39))))</f>
        <v>#N/A</v>
      </c>
      <c r="T101" s="116"/>
      <c r="U101" s="116"/>
      <c r="V101" s="117" t="s">
        <v>344</v>
      </c>
      <c r="W101" s="42"/>
      <c r="X101" s="48"/>
      <c r="Y101" s="50"/>
      <c r="Z101" s="44">
        <v>2</v>
      </c>
      <c r="AA101" s="44">
        <v>3</v>
      </c>
      <c r="AB101" s="44">
        <v>2</v>
      </c>
      <c r="AC101" s="44">
        <v>2</v>
      </c>
      <c r="AD101" s="44">
        <v>0</v>
      </c>
      <c r="AE101" s="44">
        <v>1</v>
      </c>
      <c r="AF101" s="102">
        <f>IFERROR(Tabel2[[#This Row],[Kans  ]]*SUM(Tabel2[[#This Row],[Tijd  ]:[Omgeving  ]]),0)</f>
        <v>16</v>
      </c>
      <c r="AG101" s="103">
        <f>IF(F$2&lt;KWANTIFICEERTABELLEN!B$17,_xlfn.XLOOKUP(Tabel2[[#This Row],[Kans  ]],KWANTIFICEERTABELLEN!$B$6:$B$13,KWANTIFICEERTABELLEN!I$6:I$13,),
IF(AND(F$2&gt;KWANTIFICEERTABELLEN!B$17,$F$2&lt;KWANTIFICEERTABELLEN!B$30),_xlfn.XLOOKUP(Tabel2[[#This Row],[Kans  ]],KWANTIFICEERTABELLEN!$B$19:$B$26,KWANTIFICEERTABELLEN!I$19:I$26),
IF(F$2&gt;KWANTIFICEERTABELLEN!B$30,_xlfn.XLOOKUP(Tabel2[[#This Row],[Kans  ]],KWANTIFICEERTABELLEN!$B$32:$B$39,KWANTIFICEERTABELLEN!I$32:I$39))))</f>
        <v>0.1</v>
      </c>
      <c r="AH101" s="106">
        <f>IF(F$2&lt;KWANTIFICEERTABELLEN!B$17,_xlfn.XLOOKUP(Tabel2[[#This Row],[Geld  ]],KWANTIFICEERTABELLEN!$B$6:$B$13,KWANTIFICEERTABELLEN!J$6:J$13,),
IF(AND(F$2&gt;KWANTIFICEERTABELLEN!B$17,$F$2&lt;KWANTIFICEERTABELLEN!B$30),_xlfn.XLOOKUP(Tabel2[[#This Row],[Geld  ]],KWANTIFICEERTABELLEN!$B$19:$B$26,KWANTIFICEERTABELLEN!J$19:J$26),
IF(F$2&gt;KWANTIFICEERTABELLEN!B$30,_xlfn.XLOOKUP(Tabel2[[#This Row],[Geld  ]],KWANTIFICEERTABELLEN!$B$32:$B$39,KWANTIFICEERTABELLEN!J$32:J$39))))</f>
        <v>7500</v>
      </c>
      <c r="AI101" s="104">
        <f>IFERROR(Tabel2[[#This Row],[Kans   ]]*Tabel2[[#This Row],[Rekenwaarde kosten]],0)</f>
        <v>750</v>
      </c>
      <c r="AJ101"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1 - 2 weken</v>
      </c>
    </row>
    <row r="102" spans="2:36" ht="38.25" hidden="1" customHeight="1" x14ac:dyDescent="0.3">
      <c r="B102" s="100">
        <v>90</v>
      </c>
      <c r="C102" s="100"/>
      <c r="D102" s="52" t="s">
        <v>112</v>
      </c>
      <c r="E102" s="52" t="s">
        <v>113</v>
      </c>
      <c r="F102" s="52" t="s">
        <v>114</v>
      </c>
      <c r="G102" s="109" t="s">
        <v>115</v>
      </c>
      <c r="H102" s="42" t="s">
        <v>62</v>
      </c>
      <c r="I102" s="36" t="s">
        <v>63</v>
      </c>
      <c r="J102" s="36" t="s">
        <v>64</v>
      </c>
      <c r="K102" s="36" t="s">
        <v>8</v>
      </c>
      <c r="L102" s="39">
        <v>5</v>
      </c>
      <c r="M102" s="40">
        <v>7</v>
      </c>
      <c r="N102" s="40">
        <v>5</v>
      </c>
      <c r="O102" s="40">
        <v>1</v>
      </c>
      <c r="P102" s="40">
        <v>0</v>
      </c>
      <c r="Q102" s="40">
        <v>4</v>
      </c>
      <c r="R102" s="102">
        <f>IFERROR(Tabel2[[#This Row],[Kans]]*SUM(Tabel2[[#This Row],[Tijd]:[Omgeving]]),0)</f>
        <v>85</v>
      </c>
      <c r="S102" s="103">
        <f>IF(F$2&lt;KWANTIFICEERTABELLEN!B$17,_xlfn.XLOOKUP(Tabel2[[#This Row],[Kans]],KWANTIFICEERTABELLEN!$B$6:$B$13,KWANTIFICEERTABELLEN!I$6:I$13,),
IF(AND(F$2&gt;KWANTIFICEERTABELLEN!B$17,$F$2&lt;KWANTIFICEERTABELLEN!B$30),_xlfn.XLOOKUP(Tabel2[[#This Row],[Kans]],KWANTIFICEERTABELLEN!$B$19:$B$26,KWANTIFICEERTABELLEN!I$19:I$26),
IF(F$2&gt;KWANTIFICEERTABELLEN!B$30,_xlfn.XLOOKUP(Tabel2[[#This Row],[Kans]],KWANTIFICEERTABELLEN!$B$32:$B$39,KWANTIFICEERTABELLEN!I$32:I$39))))</f>
        <v>0.4</v>
      </c>
      <c r="T102" s="116"/>
      <c r="U102" s="116"/>
      <c r="V102" s="117" t="s">
        <v>116</v>
      </c>
      <c r="W102" s="42"/>
      <c r="X102" s="48"/>
      <c r="Y102" s="50"/>
      <c r="Z102" s="44">
        <v>2</v>
      </c>
      <c r="AA102" s="44">
        <v>7</v>
      </c>
      <c r="AB102" s="44">
        <v>5</v>
      </c>
      <c r="AC102" s="44">
        <v>1</v>
      </c>
      <c r="AD102" s="44">
        <v>0</v>
      </c>
      <c r="AE102" s="44">
        <v>4</v>
      </c>
      <c r="AF102" s="102">
        <f>IFERROR(Tabel2[[#This Row],[Kans  ]]*SUM(Tabel2[[#This Row],[Tijd  ]:[Omgeving  ]]),0)</f>
        <v>34</v>
      </c>
      <c r="AG102" s="103">
        <f>IF(F$2&lt;KWANTIFICEERTABELLEN!B$17,_xlfn.XLOOKUP(Tabel2[[#This Row],[Kans  ]],KWANTIFICEERTABELLEN!$B$6:$B$13,KWANTIFICEERTABELLEN!I$6:I$13,),
IF(AND(F$2&gt;KWANTIFICEERTABELLEN!B$17,$F$2&lt;KWANTIFICEERTABELLEN!B$30),_xlfn.XLOOKUP(Tabel2[[#This Row],[Kans  ]],KWANTIFICEERTABELLEN!$B$19:$B$26,KWANTIFICEERTABELLEN!I$19:I$26),
IF(F$2&gt;KWANTIFICEERTABELLEN!B$30,_xlfn.XLOOKUP(Tabel2[[#This Row],[Kans  ]],KWANTIFICEERTABELLEN!$B$32:$B$39,KWANTIFICEERTABELLEN!I$32:I$39))))</f>
        <v>0.1</v>
      </c>
      <c r="AH102" s="106">
        <f>IF(F$2&lt;KWANTIFICEERTABELLEN!B$17,_xlfn.XLOOKUP(Tabel2[[#This Row],[Geld  ]],KWANTIFICEERTABELLEN!$B$6:$B$13,KWANTIFICEERTABELLEN!J$6:J$13,),
IF(AND(F$2&gt;KWANTIFICEERTABELLEN!B$17,$F$2&lt;KWANTIFICEERTABELLEN!B$30),_xlfn.XLOOKUP(Tabel2[[#This Row],[Geld  ]],KWANTIFICEERTABELLEN!$B$19:$B$26,KWANTIFICEERTABELLEN!J$19:J$26),
IF(F$2&gt;KWANTIFICEERTABELLEN!B$30,_xlfn.XLOOKUP(Tabel2[[#This Row],[Geld  ]],KWANTIFICEERTABELLEN!$B$32:$B$39,KWANTIFICEERTABELLEN!J$32:J$39))))</f>
        <v>67500</v>
      </c>
      <c r="AI102" s="104">
        <f>IFERROR(Tabel2[[#This Row],[Kans   ]]*Tabel2[[#This Row],[Rekenwaarde kosten]],0)</f>
        <v>6750</v>
      </c>
      <c r="AJ102"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&gt; 2 maanden</v>
      </c>
    </row>
    <row r="103" spans="2:36" ht="38.25" customHeight="1" x14ac:dyDescent="0.3">
      <c r="B103" s="100">
        <v>84</v>
      </c>
      <c r="C103" s="135" t="s">
        <v>574</v>
      </c>
      <c r="D103" s="52" t="s">
        <v>351</v>
      </c>
      <c r="E103" s="52" t="s">
        <v>352</v>
      </c>
      <c r="F103" s="52" t="s">
        <v>353</v>
      </c>
      <c r="G103" s="109"/>
      <c r="H103" s="42" t="s">
        <v>76</v>
      </c>
      <c r="I103" s="36" t="s">
        <v>77</v>
      </c>
      <c r="J103" s="36" t="s">
        <v>55</v>
      </c>
      <c r="K103" s="36" t="s">
        <v>8</v>
      </c>
      <c r="L103" s="39"/>
      <c r="M103" s="40"/>
      <c r="N103" s="40"/>
      <c r="O103" s="40"/>
      <c r="P103" s="40"/>
      <c r="Q103" s="40"/>
      <c r="R103" s="102">
        <f>IFERROR(Tabel2[[#This Row],[Kans]]*SUM(Tabel2[[#This Row],[Tijd]:[Omgeving]]),0)</f>
        <v>0</v>
      </c>
      <c r="S103" s="103" t="e">
        <f>IF(F$2&lt;KWANTIFICEERTABELLEN!B$17,_xlfn.XLOOKUP(Tabel2[[#This Row],[Kans]],KWANTIFICEERTABELLEN!$B$6:$B$13,KWANTIFICEERTABELLEN!I$6:I$13,),
IF(AND(F$2&gt;KWANTIFICEERTABELLEN!B$17,$F$2&lt;KWANTIFICEERTABELLEN!B$30),_xlfn.XLOOKUP(Tabel2[[#This Row],[Kans]],KWANTIFICEERTABELLEN!$B$19:$B$26,KWANTIFICEERTABELLEN!I$19:I$26),
IF(F$2&gt;KWANTIFICEERTABELLEN!B$30,_xlfn.XLOOKUP(Tabel2[[#This Row],[Kans]],KWANTIFICEERTABELLEN!$B$32:$B$39,KWANTIFICEERTABELLEN!I$32:I$39))))</f>
        <v>#N/A</v>
      </c>
      <c r="T103" s="116"/>
      <c r="U103" s="116"/>
      <c r="V103" s="117" t="s">
        <v>354</v>
      </c>
      <c r="W103" s="42"/>
      <c r="X103" s="48"/>
      <c r="Y103" s="50"/>
      <c r="Z103" s="44">
        <v>2</v>
      </c>
      <c r="AA103" s="44">
        <v>3</v>
      </c>
      <c r="AB103" s="44">
        <v>3</v>
      </c>
      <c r="AC103" s="44">
        <v>2</v>
      </c>
      <c r="AD103" s="44">
        <v>0</v>
      </c>
      <c r="AE103" s="44">
        <v>0</v>
      </c>
      <c r="AF103" s="102">
        <f>IFERROR(Tabel2[[#This Row],[Kans  ]]*SUM(Tabel2[[#This Row],[Tijd  ]:[Omgeving  ]]),0)</f>
        <v>16</v>
      </c>
      <c r="AG103" s="103">
        <f>IF(F$2&lt;KWANTIFICEERTABELLEN!B$17,_xlfn.XLOOKUP(Tabel2[[#This Row],[Kans  ]],KWANTIFICEERTABELLEN!$B$6:$B$13,KWANTIFICEERTABELLEN!I$6:I$13,),
IF(AND(F$2&gt;KWANTIFICEERTABELLEN!B$17,$F$2&lt;KWANTIFICEERTABELLEN!B$30),_xlfn.XLOOKUP(Tabel2[[#This Row],[Kans  ]],KWANTIFICEERTABELLEN!$B$19:$B$26,KWANTIFICEERTABELLEN!I$19:I$26),
IF(F$2&gt;KWANTIFICEERTABELLEN!B$30,_xlfn.XLOOKUP(Tabel2[[#This Row],[Kans  ]],KWANTIFICEERTABELLEN!$B$32:$B$39,KWANTIFICEERTABELLEN!I$32:I$39))))</f>
        <v>0.1</v>
      </c>
      <c r="AH103" s="106">
        <f>IF(F$2&lt;KWANTIFICEERTABELLEN!B$17,_xlfn.XLOOKUP(Tabel2[[#This Row],[Geld  ]],KWANTIFICEERTABELLEN!$B$6:$B$13,KWANTIFICEERTABELLEN!J$6:J$13,),
IF(AND(F$2&gt;KWANTIFICEERTABELLEN!B$17,$F$2&lt;KWANTIFICEERTABELLEN!B$30),_xlfn.XLOOKUP(Tabel2[[#This Row],[Geld  ]],KWANTIFICEERTABELLEN!$B$19:$B$26,KWANTIFICEERTABELLEN!J$19:J$26),
IF(F$2&gt;KWANTIFICEERTABELLEN!B$30,_xlfn.XLOOKUP(Tabel2[[#This Row],[Geld  ]],KWANTIFICEERTABELLEN!$B$32:$B$39,KWANTIFICEERTABELLEN!J$32:J$39))))</f>
        <v>17500</v>
      </c>
      <c r="AI103" s="104">
        <f>IFERROR(Tabel2[[#This Row],[Kans   ]]*Tabel2[[#This Row],[Rekenwaarde kosten]],0)</f>
        <v>1750</v>
      </c>
      <c r="AJ103"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1 - 2 weken</v>
      </c>
    </row>
    <row r="104" spans="2:36" ht="50.25" customHeight="1" x14ac:dyDescent="0.3">
      <c r="B104" s="100">
        <v>46</v>
      </c>
      <c r="C104" s="135" t="s">
        <v>573</v>
      </c>
      <c r="D104" s="52" t="s">
        <v>355</v>
      </c>
      <c r="E104" s="52" t="s">
        <v>356</v>
      </c>
      <c r="F104" s="52" t="s">
        <v>357</v>
      </c>
      <c r="G104" s="109" t="s">
        <v>358</v>
      </c>
      <c r="H104" s="42" t="s">
        <v>54</v>
      </c>
      <c r="I104" s="36" t="s">
        <v>63</v>
      </c>
      <c r="J104" s="36" t="s">
        <v>64</v>
      </c>
      <c r="K104" s="36" t="s">
        <v>7</v>
      </c>
      <c r="L104" s="39">
        <v>4</v>
      </c>
      <c r="M104" s="40">
        <v>3</v>
      </c>
      <c r="N104" s="40">
        <v>2</v>
      </c>
      <c r="O104" s="40">
        <v>0</v>
      </c>
      <c r="P104" s="40">
        <v>0</v>
      </c>
      <c r="Q104" s="40">
        <v>4</v>
      </c>
      <c r="R104" s="102">
        <f>IFERROR(Tabel2[[#This Row],[Kans]]*SUM(Tabel2[[#This Row],[Tijd]:[Omgeving]]),0)</f>
        <v>36</v>
      </c>
      <c r="S104" s="115"/>
      <c r="T104" s="116"/>
      <c r="U104" s="116"/>
      <c r="V104" s="105" t="s">
        <v>359</v>
      </c>
      <c r="W104" s="42" t="s">
        <v>360</v>
      </c>
      <c r="X104" s="48" t="s">
        <v>58</v>
      </c>
      <c r="Y104" s="50" t="s">
        <v>361</v>
      </c>
      <c r="Z104" s="39">
        <v>2</v>
      </c>
      <c r="AA104" s="40">
        <v>4</v>
      </c>
      <c r="AB104" s="40">
        <v>3</v>
      </c>
      <c r="AC104" s="40">
        <v>0</v>
      </c>
      <c r="AD104" s="40">
        <v>0</v>
      </c>
      <c r="AE104" s="40">
        <v>0</v>
      </c>
      <c r="AF104" s="102">
        <f>IFERROR(Tabel2[[#This Row],[Kans  ]]*SUM(Tabel2[[#This Row],[Tijd  ]:[Omgeving  ]]),0)</f>
        <v>14</v>
      </c>
      <c r="AG104" s="103">
        <f>VLOOKUP(Tabel2[[#This Row],[Kans  ]],KWANTIFICEERTABELLEN!$B$19:$J$26,8,FALSE())</f>
        <v>0.1</v>
      </c>
      <c r="AH104"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17500</v>
      </c>
      <c r="AI104" s="104">
        <f>IFERROR(Tabel2[[#This Row],[Kans   ]]*Tabel2[[#This Row],[Rekenwaarde kosten]],0)</f>
        <v>1750</v>
      </c>
      <c r="AJ104"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2 - 4 weken</v>
      </c>
    </row>
    <row r="105" spans="2:36" ht="50.25" customHeight="1" x14ac:dyDescent="0.3">
      <c r="B105" s="100">
        <v>61</v>
      </c>
      <c r="C105" s="135" t="s">
        <v>575</v>
      </c>
      <c r="D105" s="52" t="s">
        <v>362</v>
      </c>
      <c r="E105" s="52" t="s">
        <v>363</v>
      </c>
      <c r="F105" s="52" t="s">
        <v>364</v>
      </c>
      <c r="G105" s="109"/>
      <c r="H105" s="42" t="s">
        <v>76</v>
      </c>
      <c r="I105" s="36" t="s">
        <v>5</v>
      </c>
      <c r="J105" s="36" t="s">
        <v>55</v>
      </c>
      <c r="K105" s="36" t="s">
        <v>278</v>
      </c>
      <c r="L105" s="39"/>
      <c r="M105" s="40"/>
      <c r="N105" s="40"/>
      <c r="O105" s="40"/>
      <c r="P105" s="40"/>
      <c r="Q105" s="40"/>
      <c r="R105" s="102">
        <f>IFERROR(Tabel2[[#This Row],[Kans]]*SUM(Tabel2[[#This Row],[Tijd]:[Omgeving]]),0)</f>
        <v>0</v>
      </c>
      <c r="S105" s="115"/>
      <c r="T105" s="116"/>
      <c r="U105" s="116"/>
      <c r="V105" s="117" t="s">
        <v>365</v>
      </c>
      <c r="W105" s="42" t="s">
        <v>325</v>
      </c>
      <c r="X105" s="48" t="s">
        <v>592</v>
      </c>
      <c r="Y105" s="50"/>
      <c r="Z105" s="44">
        <v>2</v>
      </c>
      <c r="AA105" s="44">
        <v>3</v>
      </c>
      <c r="AB105" s="44">
        <v>3</v>
      </c>
      <c r="AC105" s="44">
        <v>0</v>
      </c>
      <c r="AD105" s="44">
        <v>0</v>
      </c>
      <c r="AE105" s="44">
        <v>1</v>
      </c>
      <c r="AF105" s="102">
        <f>IFERROR(Tabel2[[#This Row],[Kans  ]]*SUM(Tabel2[[#This Row],[Tijd  ]:[Omgeving  ]]),0)</f>
        <v>14</v>
      </c>
      <c r="AG105" s="103">
        <f>VLOOKUP(Tabel2[[#This Row],[Kans  ]],KWANTIFICEERTABELLEN!$B$19:$J$26,8,FALSE())</f>
        <v>0.1</v>
      </c>
      <c r="AH105"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17500</v>
      </c>
      <c r="AI105" s="104">
        <f>IFERROR(Tabel2[[#This Row],[Kans   ]]*Tabel2[[#This Row],[Rekenwaarde kosten]],0)</f>
        <v>1750</v>
      </c>
      <c r="AJ105"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1 - 2 weken</v>
      </c>
    </row>
    <row r="106" spans="2:36" ht="50.25" hidden="1" customHeight="1" x14ac:dyDescent="0.3">
      <c r="B106" s="100">
        <v>89</v>
      </c>
      <c r="C106" s="135" t="s">
        <v>574</v>
      </c>
      <c r="D106" s="52" t="s">
        <v>247</v>
      </c>
      <c r="E106" s="52" t="s">
        <v>248</v>
      </c>
      <c r="F106" s="52" t="s">
        <v>249</v>
      </c>
      <c r="G106" s="109"/>
      <c r="H106" s="42" t="s">
        <v>62</v>
      </c>
      <c r="I106" s="36" t="s">
        <v>214</v>
      </c>
      <c r="J106" s="36" t="s">
        <v>55</v>
      </c>
      <c r="K106" s="36" t="s">
        <v>8</v>
      </c>
      <c r="L106" s="39"/>
      <c r="M106" s="40"/>
      <c r="N106" s="40"/>
      <c r="O106" s="40"/>
      <c r="P106" s="40"/>
      <c r="Q106" s="40"/>
      <c r="R106" s="102">
        <f>IFERROR(Tabel2[[#This Row],[Kans]]*SUM(Tabel2[[#This Row],[Tijd]:[Omgeving]]),0)</f>
        <v>0</v>
      </c>
      <c r="S106" s="103" t="e">
        <f>IF(F$2&lt;KWANTIFICEERTABELLEN!B$17,_xlfn.XLOOKUP(Tabel2[[#This Row],[Kans]],KWANTIFICEERTABELLEN!$B$6:$B$13,KWANTIFICEERTABELLEN!I$6:I$13,),
IF(AND(F$2&gt;KWANTIFICEERTABELLEN!B$17,$F$2&lt;KWANTIFICEERTABELLEN!B$30),_xlfn.XLOOKUP(Tabel2[[#This Row],[Kans]],KWANTIFICEERTABELLEN!$B$19:$B$26,KWANTIFICEERTABELLEN!I$19:I$26),
IF(F$2&gt;KWANTIFICEERTABELLEN!B$30,_xlfn.XLOOKUP(Tabel2[[#This Row],[Kans]],KWANTIFICEERTABELLEN!$B$32:$B$39,KWANTIFICEERTABELLEN!I$32:I$39))))</f>
        <v>#N/A</v>
      </c>
      <c r="T106" s="116"/>
      <c r="U106" s="116"/>
      <c r="V106" s="117" t="s">
        <v>250</v>
      </c>
      <c r="W106" s="42"/>
      <c r="X106" s="48" t="s">
        <v>180</v>
      </c>
      <c r="Y106" s="50"/>
      <c r="Z106" s="44">
        <v>0</v>
      </c>
      <c r="AA106" s="44">
        <v>3</v>
      </c>
      <c r="AB106" s="44">
        <v>3</v>
      </c>
      <c r="AC106" s="44">
        <v>3</v>
      </c>
      <c r="AD106" s="44">
        <v>2</v>
      </c>
      <c r="AE106" s="44">
        <v>0</v>
      </c>
      <c r="AF106" s="102">
        <f>IFERROR(Tabel2[[#This Row],[Kans  ]]*SUM(Tabel2[[#This Row],[Tijd  ]:[Omgeving  ]]),0)</f>
        <v>0</v>
      </c>
      <c r="AG106" s="103">
        <f>IF(F$2&lt;KWANTIFICEERTABELLEN!B$17,_xlfn.XLOOKUP(Tabel2[[#This Row],[Kans  ]],KWANTIFICEERTABELLEN!$B$6:$B$13,KWANTIFICEERTABELLEN!I$6:I$13,),
IF(AND(F$2&gt;KWANTIFICEERTABELLEN!B$17,$F$2&lt;KWANTIFICEERTABELLEN!B$30),_xlfn.XLOOKUP(Tabel2[[#This Row],[Kans  ]],KWANTIFICEERTABELLEN!$B$19:$B$26,KWANTIFICEERTABELLEN!I$19:I$26),
IF(F$2&gt;KWANTIFICEERTABELLEN!B$30,_xlfn.XLOOKUP(Tabel2[[#This Row],[Kans  ]],KWANTIFICEERTABELLEN!$B$32:$B$39,KWANTIFICEERTABELLEN!I$32:I$39))))</f>
        <v>0</v>
      </c>
      <c r="AH106" s="106">
        <f>IF(F$2&lt;KWANTIFICEERTABELLEN!B$17,_xlfn.XLOOKUP(Tabel2[[#This Row],[Geld  ]],KWANTIFICEERTABELLEN!$B$6:$B$13,KWANTIFICEERTABELLEN!J$6:J$13,),
IF(AND(F$2&gt;KWANTIFICEERTABELLEN!B$17,$F$2&lt;KWANTIFICEERTABELLEN!B$30),_xlfn.XLOOKUP(Tabel2[[#This Row],[Geld  ]],KWANTIFICEERTABELLEN!$B$19:$B$26,KWANTIFICEERTABELLEN!J$19:J$26),
IF(F$2&gt;KWANTIFICEERTABELLEN!B$30,_xlfn.XLOOKUP(Tabel2[[#This Row],[Geld  ]],KWANTIFICEERTABELLEN!$B$32:$B$39,KWANTIFICEERTABELLEN!J$32:J$39))))</f>
        <v>17500</v>
      </c>
      <c r="AI106" s="104">
        <f>IFERROR(Tabel2[[#This Row],[Kans   ]]*Tabel2[[#This Row],[Rekenwaarde kosten]],0)</f>
        <v>0</v>
      </c>
      <c r="AJ106"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1 - 2 weken</v>
      </c>
    </row>
    <row r="107" spans="2:36" ht="50.25" customHeight="1" x14ac:dyDescent="0.3">
      <c r="B107" s="100">
        <v>65</v>
      </c>
      <c r="C107" s="135" t="s">
        <v>575</v>
      </c>
      <c r="D107" s="52" t="s">
        <v>251</v>
      </c>
      <c r="E107" s="52" t="s">
        <v>252</v>
      </c>
      <c r="F107" s="52" t="s">
        <v>253</v>
      </c>
      <c r="G107" s="109"/>
      <c r="H107" s="43" t="s">
        <v>96</v>
      </c>
      <c r="I107" s="36" t="s">
        <v>77</v>
      </c>
      <c r="J107" s="36" t="s">
        <v>55</v>
      </c>
      <c r="K107" s="36" t="s">
        <v>8</v>
      </c>
      <c r="L107" s="39">
        <v>5</v>
      </c>
      <c r="M107" s="40">
        <v>4</v>
      </c>
      <c r="N107" s="40">
        <v>1</v>
      </c>
      <c r="O107" s="40">
        <v>4</v>
      </c>
      <c r="P107" s="40">
        <v>0</v>
      </c>
      <c r="Q107" s="40">
        <v>1</v>
      </c>
      <c r="R107" s="102">
        <f>IFERROR(Tabel2[[#This Row],[Kans]]*SUM(Tabel2[[#This Row],[Tijd]:[Omgeving]]),0)</f>
        <v>50</v>
      </c>
      <c r="S107" s="103">
        <f>IF(F$2&lt;KWANTIFICEERTABELLEN!B$17,_xlfn.XLOOKUP(Tabel2[[#This Row],[Kans]],KWANTIFICEERTABELLEN!$B$6:$B$13,KWANTIFICEERTABELLEN!I$6:I$13,),
IF(AND(F$2&gt;KWANTIFICEERTABELLEN!B$17,$F$2&lt;KWANTIFICEERTABELLEN!B$30),_xlfn.XLOOKUP(Tabel2[[#This Row],[Kans]],KWANTIFICEERTABELLEN!$B$19:$B$26,KWANTIFICEERTABELLEN!I$19:I$26),
IF(F$2&gt;KWANTIFICEERTABELLEN!B$30,_xlfn.XLOOKUP(Tabel2[[#This Row],[Kans]],KWANTIFICEERTABELLEN!$B$32:$B$39,KWANTIFICEERTABELLEN!I$32:I$39))))</f>
        <v>0.4</v>
      </c>
      <c r="T107" s="116"/>
      <c r="U107" s="116"/>
      <c r="V107" s="117" t="s">
        <v>254</v>
      </c>
      <c r="W107" s="42"/>
      <c r="X107" s="48"/>
      <c r="Y107" s="50"/>
      <c r="Z107" s="44">
        <v>1</v>
      </c>
      <c r="AA107" s="44">
        <v>4</v>
      </c>
      <c r="AB107" s="44">
        <v>1</v>
      </c>
      <c r="AC107" s="44">
        <v>4</v>
      </c>
      <c r="AD107" s="44">
        <v>0</v>
      </c>
      <c r="AE107" s="44">
        <v>1</v>
      </c>
      <c r="AF107" s="102">
        <f>IFERROR(Tabel2[[#This Row],[Kans  ]]*SUM(Tabel2[[#This Row],[Tijd  ]:[Omgeving  ]]),0)</f>
        <v>10</v>
      </c>
      <c r="AG107" s="103">
        <f>IF(F$2&lt;KWANTIFICEERTABELLEN!B$17,_xlfn.XLOOKUP(Tabel2[[#This Row],[Kans  ]],KWANTIFICEERTABELLEN!$B$6:$B$13,KWANTIFICEERTABELLEN!I$6:I$13,),
IF(AND(F$2&gt;KWANTIFICEERTABELLEN!B$17,$F$2&lt;KWANTIFICEERTABELLEN!B$30),_xlfn.XLOOKUP(Tabel2[[#This Row],[Kans  ]],KWANTIFICEERTABELLEN!$B$19:$B$26,KWANTIFICEERTABELLEN!I$19:I$26),
IF(F$2&gt;KWANTIFICEERTABELLEN!B$30,_xlfn.XLOOKUP(Tabel2[[#This Row],[Kans  ]],KWANTIFICEERTABELLEN!$B$32:$B$39,KWANTIFICEERTABELLEN!I$32:I$39))))</f>
        <v>0.05</v>
      </c>
      <c r="AH107" s="106">
        <f>IF(F$2&lt;KWANTIFICEERTABELLEN!B$17,_xlfn.XLOOKUP(Tabel2[[#This Row],[Geld  ]],KWANTIFICEERTABELLEN!$B$6:$B$13,KWANTIFICEERTABELLEN!J$6:J$13,),
IF(AND(F$2&gt;KWANTIFICEERTABELLEN!B$17,$F$2&lt;KWANTIFICEERTABELLEN!B$30),_xlfn.XLOOKUP(Tabel2[[#This Row],[Geld  ]],KWANTIFICEERTABELLEN!$B$19:$B$26,KWANTIFICEERTABELLEN!J$19:J$26),
IF(F$2&gt;KWANTIFICEERTABELLEN!B$30,_xlfn.XLOOKUP(Tabel2[[#This Row],[Geld  ]],KWANTIFICEERTABELLEN!$B$32:$B$39,KWANTIFICEERTABELLEN!J$32:J$39))))</f>
        <v>2500</v>
      </c>
      <c r="AI107" s="104">
        <f>IFERROR(Tabel2[[#This Row],[Kans   ]]*Tabel2[[#This Row],[Rekenwaarde kosten]],0)</f>
        <v>125</v>
      </c>
      <c r="AJ107"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2 - 4 weken</v>
      </c>
    </row>
    <row r="108" spans="2:36" ht="50.25" customHeight="1" x14ac:dyDescent="0.3">
      <c r="B108" s="125">
        <v>58</v>
      </c>
      <c r="C108" s="136" t="s">
        <v>575</v>
      </c>
      <c r="D108" s="52" t="s">
        <v>366</v>
      </c>
      <c r="E108" s="52" t="s">
        <v>367</v>
      </c>
      <c r="F108" s="52" t="s">
        <v>368</v>
      </c>
      <c r="G108" s="109"/>
      <c r="H108" s="42" t="s">
        <v>76</v>
      </c>
      <c r="I108" s="42" t="s">
        <v>5</v>
      </c>
      <c r="J108" s="42" t="s">
        <v>55</v>
      </c>
      <c r="K108" s="42" t="s">
        <v>7</v>
      </c>
      <c r="L108" s="126"/>
      <c r="M108" s="127"/>
      <c r="N108" s="127"/>
      <c r="O108" s="127"/>
      <c r="P108" s="127"/>
      <c r="Q108" s="127"/>
      <c r="R108" s="102">
        <f>IFERROR(Tabel2[[#This Row],[Kans]]*SUM(Tabel2[[#This Row],[Tijd]:[Omgeving]]),0)</f>
        <v>0</v>
      </c>
      <c r="S108" s="128"/>
      <c r="T108" s="129"/>
      <c r="U108" s="129"/>
      <c r="V108" s="117" t="s">
        <v>369</v>
      </c>
      <c r="W108" s="42" t="s">
        <v>325</v>
      </c>
      <c r="X108" s="48" t="s">
        <v>592</v>
      </c>
      <c r="Y108" s="50"/>
      <c r="Z108" s="47">
        <v>3</v>
      </c>
      <c r="AA108" s="47">
        <v>1</v>
      </c>
      <c r="AB108" s="47">
        <v>1</v>
      </c>
      <c r="AC108" s="47">
        <v>1</v>
      </c>
      <c r="AD108" s="47">
        <v>0</v>
      </c>
      <c r="AE108" s="47">
        <v>0</v>
      </c>
      <c r="AF108" s="130">
        <f>IFERROR(Tabel2[[#This Row],[Kans  ]]*SUM(Tabel2[[#This Row],[Tijd  ]:[Omgeving  ]]),0)</f>
        <v>9</v>
      </c>
      <c r="AG108" s="131">
        <f>VLOOKUP(Tabel2[[#This Row],[Kans  ]],KWANTIFICEERTABELLEN!$B$19:$J$26,8,FALSE())</f>
        <v>0.2</v>
      </c>
      <c r="AH108"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2500</v>
      </c>
      <c r="AI108" s="132">
        <f>IFERROR(Tabel2[[#This Row],[Kans   ]]*Tabel2[[#This Row],[Rekenwaarde kosten]],0)</f>
        <v>500</v>
      </c>
      <c r="AJ108" s="133"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&lt; 0.5 week</v>
      </c>
    </row>
    <row r="109" spans="2:36" ht="50.25" customHeight="1" x14ac:dyDescent="0.3">
      <c r="B109" s="100">
        <v>49</v>
      </c>
      <c r="C109" s="135" t="s">
        <v>573</v>
      </c>
      <c r="D109" s="52" t="s">
        <v>403</v>
      </c>
      <c r="E109" s="52" t="s">
        <v>404</v>
      </c>
      <c r="F109" s="52" t="s">
        <v>405</v>
      </c>
      <c r="G109" s="109"/>
      <c r="H109" s="42" t="s">
        <v>54</v>
      </c>
      <c r="I109" s="36" t="s">
        <v>63</v>
      </c>
      <c r="J109" s="36" t="s">
        <v>64</v>
      </c>
      <c r="K109" s="36" t="s">
        <v>7</v>
      </c>
      <c r="L109" s="39">
        <v>5</v>
      </c>
      <c r="M109" s="40">
        <v>6</v>
      </c>
      <c r="N109" s="40">
        <v>2</v>
      </c>
      <c r="O109" s="40">
        <v>0</v>
      </c>
      <c r="P109" s="40">
        <v>0</v>
      </c>
      <c r="Q109" s="40">
        <v>4</v>
      </c>
      <c r="R109" s="102">
        <f>IFERROR(Tabel2[[#This Row],[Kans]]*SUM(Tabel2[[#This Row],[Tijd]:[Omgeving]]),0)</f>
        <v>60</v>
      </c>
      <c r="S109" s="115"/>
      <c r="T109" s="116"/>
      <c r="U109" s="116"/>
      <c r="V109" s="105" t="s">
        <v>178</v>
      </c>
      <c r="W109" s="42"/>
      <c r="X109" s="48"/>
      <c r="Y109" s="50" t="s">
        <v>406</v>
      </c>
      <c r="Z109" s="39">
        <v>4</v>
      </c>
      <c r="AA109" s="40">
        <v>0</v>
      </c>
      <c r="AB109" s="40">
        <v>2</v>
      </c>
      <c r="AC109" s="40">
        <v>0</v>
      </c>
      <c r="AD109" s="40">
        <v>0</v>
      </c>
      <c r="AE109" s="40">
        <v>0</v>
      </c>
      <c r="AF109" s="102">
        <f>IFERROR(Tabel2[[#This Row],[Kans  ]]*SUM(Tabel2[[#This Row],[Tijd  ]:[Omgeving  ]]),0)</f>
        <v>8</v>
      </c>
      <c r="AG109" s="103">
        <f>VLOOKUP(Tabel2[[#This Row],[Kans  ]],KWANTIFICEERTABELLEN!$B$19:$J$26,8,FALSE())</f>
        <v>0.3</v>
      </c>
      <c r="AH109"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7500</v>
      </c>
      <c r="AI109" s="104">
        <f>IFERROR(Tabel2[[#This Row],[Kans   ]]*Tabel2[[#This Row],[Rekenwaarde kosten]],0)</f>
        <v>2250</v>
      </c>
      <c r="AJ109"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Geen impact</v>
      </c>
    </row>
    <row r="110" spans="2:36" ht="50.25" customHeight="1" x14ac:dyDescent="0.3">
      <c r="B110" s="100">
        <v>56</v>
      </c>
      <c r="C110" s="135" t="s">
        <v>574</v>
      </c>
      <c r="D110" s="52" t="s">
        <v>459</v>
      </c>
      <c r="E110" s="52" t="s">
        <v>460</v>
      </c>
      <c r="F110" s="52" t="s">
        <v>461</v>
      </c>
      <c r="G110" s="109"/>
      <c r="H110" s="42" t="s">
        <v>54</v>
      </c>
      <c r="I110" s="36" t="s">
        <v>63</v>
      </c>
      <c r="J110" s="36" t="s">
        <v>64</v>
      </c>
      <c r="K110" s="36" t="s">
        <v>7</v>
      </c>
      <c r="L110" s="39">
        <v>2</v>
      </c>
      <c r="M110" s="40">
        <v>3</v>
      </c>
      <c r="N110" s="40">
        <v>2</v>
      </c>
      <c r="O110" s="40">
        <v>0</v>
      </c>
      <c r="P110" s="40">
        <v>0</v>
      </c>
      <c r="Q110" s="40">
        <v>0</v>
      </c>
      <c r="R110" s="102">
        <f>IFERROR(Tabel2[[#This Row],[Kans]]*SUM(Tabel2[[#This Row],[Tijd]:[Omgeving]]),0)</f>
        <v>10</v>
      </c>
      <c r="S110" s="115"/>
      <c r="T110" s="116"/>
      <c r="U110" s="116"/>
      <c r="V110" s="105" t="s">
        <v>56</v>
      </c>
      <c r="W110" s="42"/>
      <c r="X110" s="48"/>
      <c r="Y110" s="50"/>
      <c r="Z110" s="39">
        <v>1</v>
      </c>
      <c r="AA110" s="40">
        <v>3</v>
      </c>
      <c r="AB110" s="40">
        <v>2</v>
      </c>
      <c r="AC110" s="40">
        <v>0</v>
      </c>
      <c r="AD110" s="40">
        <v>0</v>
      </c>
      <c r="AE110" s="40">
        <v>0</v>
      </c>
      <c r="AF110" s="102">
        <f>IFERROR(Tabel2[[#This Row],[Kans  ]]*SUM(Tabel2[[#This Row],[Tijd  ]:[Omgeving  ]]),0)</f>
        <v>5</v>
      </c>
      <c r="AG110" s="103">
        <f>VLOOKUP(Tabel2[[#This Row],[Kans  ]],KWANTIFICEERTABELLEN!$B$19:$J$26,8,FALSE())</f>
        <v>0.05</v>
      </c>
      <c r="AH110"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7500</v>
      </c>
      <c r="AI110" s="104">
        <f>IFERROR(Tabel2[[#This Row],[Kans   ]]*Tabel2[[#This Row],[Rekenwaarde kosten]],0)</f>
        <v>375</v>
      </c>
      <c r="AJ110"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1 - 2 weken</v>
      </c>
    </row>
    <row r="111" spans="2:36" ht="50.25" customHeight="1" x14ac:dyDescent="0.3">
      <c r="B111" s="100">
        <v>66</v>
      </c>
      <c r="C111" s="135" t="s">
        <v>575</v>
      </c>
      <c r="D111" s="52" t="s">
        <v>255</v>
      </c>
      <c r="E111" s="52" t="s">
        <v>256</v>
      </c>
      <c r="F111" s="52" t="s">
        <v>257</v>
      </c>
      <c r="G111" s="109"/>
      <c r="H111" s="43" t="s">
        <v>96</v>
      </c>
      <c r="I111" s="36" t="s">
        <v>77</v>
      </c>
      <c r="J111" s="36" t="s">
        <v>55</v>
      </c>
      <c r="K111" s="36" t="s">
        <v>8</v>
      </c>
      <c r="L111" s="39">
        <v>3</v>
      </c>
      <c r="M111" s="40">
        <v>1</v>
      </c>
      <c r="N111" s="40">
        <v>1</v>
      </c>
      <c r="O111" s="40">
        <v>0</v>
      </c>
      <c r="P111" s="40">
        <v>0</v>
      </c>
      <c r="Q111" s="40">
        <v>0</v>
      </c>
      <c r="R111" s="102">
        <f>IFERROR(Tabel2[[#This Row],[Kans]]*SUM(Tabel2[[#This Row],[Tijd]:[Omgeving]]),0)</f>
        <v>6</v>
      </c>
      <c r="S111" s="103">
        <f>IF(F$2&lt;KWANTIFICEERTABELLEN!B$17,_xlfn.XLOOKUP(Tabel2[[#This Row],[Kans]],KWANTIFICEERTABELLEN!$B$6:$B$13,KWANTIFICEERTABELLEN!I$6:I$13,),
IF(AND(F$2&gt;KWANTIFICEERTABELLEN!B$17,$F$2&lt;KWANTIFICEERTABELLEN!B$30),_xlfn.XLOOKUP(Tabel2[[#This Row],[Kans]],KWANTIFICEERTABELLEN!$B$19:$B$26,KWANTIFICEERTABELLEN!I$19:I$26),
IF(F$2&gt;KWANTIFICEERTABELLEN!B$30,_xlfn.XLOOKUP(Tabel2[[#This Row],[Kans]],KWANTIFICEERTABELLEN!$B$32:$B$39,KWANTIFICEERTABELLEN!I$32:I$39))))</f>
        <v>0.2</v>
      </c>
      <c r="T111" s="116"/>
      <c r="U111" s="116"/>
      <c r="V111" s="117" t="s">
        <v>258</v>
      </c>
      <c r="W111" s="42"/>
      <c r="X111" s="48"/>
      <c r="Y111" s="50"/>
      <c r="Z111" s="44">
        <v>2</v>
      </c>
      <c r="AA111" s="44">
        <v>1</v>
      </c>
      <c r="AB111" s="44">
        <v>1</v>
      </c>
      <c r="AC111" s="44">
        <v>0</v>
      </c>
      <c r="AD111" s="44">
        <v>0</v>
      </c>
      <c r="AE111" s="44">
        <v>0</v>
      </c>
      <c r="AF111" s="102">
        <f>IFERROR(Tabel2[[#This Row],[Kans  ]]*SUM(Tabel2[[#This Row],[Tijd  ]:[Omgeving  ]]),0)</f>
        <v>4</v>
      </c>
      <c r="AG111" s="103">
        <f>IF(F$2&lt;KWANTIFICEERTABELLEN!B$17,_xlfn.XLOOKUP(Tabel2[[#This Row],[Kans  ]],KWANTIFICEERTABELLEN!$B$6:$B$13,KWANTIFICEERTABELLEN!I$6:I$13,),
IF(AND(F$2&gt;KWANTIFICEERTABELLEN!B$17,$F$2&lt;KWANTIFICEERTABELLEN!B$30),_xlfn.XLOOKUP(Tabel2[[#This Row],[Kans  ]],KWANTIFICEERTABELLEN!$B$19:$B$26,KWANTIFICEERTABELLEN!I$19:I$26),
IF(F$2&gt;KWANTIFICEERTABELLEN!B$30,_xlfn.XLOOKUP(Tabel2[[#This Row],[Kans  ]],KWANTIFICEERTABELLEN!$B$32:$B$39,KWANTIFICEERTABELLEN!I$32:I$39))))</f>
        <v>0.1</v>
      </c>
      <c r="AH111" s="106">
        <f>IF(F$2&lt;KWANTIFICEERTABELLEN!B$17,_xlfn.XLOOKUP(Tabel2[[#This Row],[Geld  ]],KWANTIFICEERTABELLEN!$B$6:$B$13,KWANTIFICEERTABELLEN!J$6:J$13,),
IF(AND(F$2&gt;KWANTIFICEERTABELLEN!B$17,$F$2&lt;KWANTIFICEERTABELLEN!B$30),_xlfn.XLOOKUP(Tabel2[[#This Row],[Geld  ]],KWANTIFICEERTABELLEN!$B$19:$B$26,KWANTIFICEERTABELLEN!J$19:J$26),
IF(F$2&gt;KWANTIFICEERTABELLEN!B$30,_xlfn.XLOOKUP(Tabel2[[#This Row],[Geld  ]],KWANTIFICEERTABELLEN!$B$32:$B$39,KWANTIFICEERTABELLEN!J$32:J$39))))</f>
        <v>2500</v>
      </c>
      <c r="AI111" s="104">
        <f>IFERROR(Tabel2[[#This Row],[Kans   ]]*Tabel2[[#This Row],[Rekenwaarde kosten]],0)</f>
        <v>250</v>
      </c>
      <c r="AJ111"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&lt; 0.5 week</v>
      </c>
    </row>
    <row r="112" spans="2:36" ht="102" customHeight="1" x14ac:dyDescent="0.3">
      <c r="B112" s="100">
        <v>100</v>
      </c>
      <c r="C112" s="135"/>
      <c r="D112" s="52"/>
      <c r="E112" s="52"/>
      <c r="F112" s="52"/>
      <c r="G112" s="109"/>
      <c r="H112" s="42"/>
      <c r="I112" s="36"/>
      <c r="J112" s="36"/>
      <c r="K112" s="36"/>
      <c r="L112" s="39"/>
      <c r="M112" s="40"/>
      <c r="N112" s="40"/>
      <c r="O112" s="40"/>
      <c r="P112" s="40"/>
      <c r="Q112" s="40"/>
      <c r="R112" s="134"/>
      <c r="S112" s="115"/>
      <c r="T112" s="116"/>
      <c r="U112" s="116"/>
      <c r="V112" s="117"/>
      <c r="W112" s="42"/>
      <c r="X112" s="48"/>
      <c r="Y112" s="50"/>
      <c r="Z112" s="44"/>
      <c r="AA112" s="44"/>
      <c r="AB112" s="44"/>
      <c r="AC112" s="44"/>
      <c r="AD112" s="44"/>
      <c r="AE112" s="44"/>
      <c r="AF112" s="102">
        <f>IFERROR(Tabel2[[#This Row],[Kans  ]]*SUM(Tabel2[[#This Row],[Tijd  ]:[Omgeving  ]]),0)</f>
        <v>0</v>
      </c>
      <c r="AG112" s="103">
        <f>VLOOKUP(Tabel2[[#This Row],[Kans  ]],KWANTIFICEERTABELLEN!$B$19:$J$26,8,FALSE())</f>
        <v>0</v>
      </c>
      <c r="AH112" s="106">
        <f>IF(F$2&lt;KWANTIFICEERTABELLEN!B$4,VLOOKUP(Tabel2[[#This Row],[Geld  ]],KWANTIFICEERTABELLEN!$B$6:$J$13,9,FALSE()),
IF(AND(F$2&gt;KWANTIFICEERTABELLEN!B$4,$F$2&lt;KWANTIFICEERTABELLEN!B$30),VLOOKUP(Tabel2[[#This Row],[Geld  ]],KWANTIFICEERTABELLEN!$B$19:$J$26,9,FALSE()),
IF(F$2&gt;KWANTIFICEERTABELLEN!B$30,VLOOKUP(Tabel2[[#This Row],[Geld  ]],KWANTIFICEERTABELLEN!$B$32:$J$39,9,FALSE()),)))</f>
        <v>0</v>
      </c>
      <c r="AI112" s="104">
        <f>IFERROR(Tabel2[[#This Row],[Kans   ]]*Tabel2[[#This Row],[Rekenwaarde kosten]],0)</f>
        <v>0</v>
      </c>
      <c r="AJ112" s="107" t="str">
        <f>IF(F$2&lt;KWANTIFICEERTABELLEN!B$4,VLOOKUP(Tabel2[[#This Row],[Tijd  ]],KWANTIFICEERTABELLEN!$B$6:$D$13,3,FALSE()),
IF(AND(F$2&gt;KWANTIFICEERTABELLEN!B$4,$F$2&lt;KWANTIFICEERTABELLEN!B$30),VLOOKUP(Tabel2[[#This Row],[Tijd  ]],KWANTIFICEERTABELLEN!$B$19:$D$26,3,FALSE()),
IF(F$2&gt;KWANTIFICEERTABELLEN!B$30,VLOOKUP(Tabel2[[#This Row],[Tijd  ]],KWANTIFICEERTABELLEN!$B$32:$D$39,3,FALSE()),)))</f>
        <v>Geen impact</v>
      </c>
    </row>
    <row r="113" spans="5:22" ht="93" customHeight="1" x14ac:dyDescent="0.3">
      <c r="E113" s="53"/>
      <c r="F113" s="54"/>
      <c r="V113" s="55"/>
    </row>
  </sheetData>
  <mergeCells count="7">
    <mergeCell ref="AG9:AJ9"/>
    <mergeCell ref="B10:K10"/>
    <mergeCell ref="L10:R10"/>
    <mergeCell ref="S10:U10"/>
    <mergeCell ref="V10:Y10"/>
    <mergeCell ref="Z10:AF10"/>
    <mergeCell ref="AH10:AI10"/>
  </mergeCells>
  <conditionalFormatting sqref="R12:R111 AF12:AF112">
    <cfRule type="cellIs" dxfId="2" priority="2" operator="between">
      <formula>0</formula>
      <formula>14</formula>
    </cfRule>
    <cfRule type="cellIs" dxfId="1" priority="3" operator="between">
      <formula>15</formula>
      <formula>30</formula>
    </cfRule>
    <cfRule type="cellIs" dxfId="0" priority="4" operator="between">
      <formula>30</formula>
      <formula>100</formula>
    </cfRule>
  </conditionalFormatting>
  <dataValidations count="4">
    <dataValidation allowBlank="1" showInputMessage="1" showErrorMessage="1" promptTitle="Tijd" prompt="1 = &lt;1 week _x000a_2 = 1 á 2 week _x000a_3 = 2 weken – 1 maand _x000a_4 = 1 tot 2 maanden _x000a_5 = 2 maanden – 4 maanden _x000a_6 = 4 maanden – 6 maanden _x000a_7 = &gt;6 maanden" sqref="M12:M72 Z12:Z28 AA29 Z30:Z56 AA32 AA57:AA60 AA66:AA67 AA71 M73:M111" xr:uid="{00000000-0002-0000-0000-000000000000}">
      <formula1>0</formula1>
      <formula2>0</formula2>
    </dataValidation>
    <dataValidation allowBlank="1" showInputMessage="1" showErrorMessage="1" promptTitle="Kans" prompt="1 = Gering_x000a_2 = Zeer klein_x000a_3 = Klin_x000a_4 = Matig_x000a_5 = Behoorlijk_x000a_6 = Groot_x000a_7 = Extreem" sqref="L12:L72 Z29 Z57:Z60 Z66:Z67 Z71 L73:L111" xr:uid="{00000000-0002-0000-0000-000001000000}">
      <formula1>0</formula1>
      <formula2>0</formula2>
    </dataValidation>
    <dataValidation allowBlank="1" showInputMessage="1" showErrorMessage="1" promptTitle="Tijd" sqref="AA61:AA65 AA68:AA70 AA72:AA111 Q112" xr:uid="{00000000-0002-0000-0000-000002000000}">
      <formula1>0</formula1>
      <formula2>0</formula2>
    </dataValidation>
    <dataValidation allowBlank="1" showInputMessage="1" showErrorMessage="1" promptTitle="Kans" prompt="1 = Gering_x000a_2 = Zeer klein_x000a_3 = Klein_x000a_4 = Matig_x000a_5 = Behoorlijk_x000a_6 = Groot_x000a_7 = Extreem" sqref="H12 H14:H15 H18 H24 H26 H40:H42 H46:H48 H50:H56 H77:H78 H80" xr:uid="{00000000-0002-0000-0000-000003000000}">
      <formula1>0</formula1>
      <formula2>0</formula2>
    </dataValidation>
  </dataValidations>
  <pageMargins left="0.23611111111111099" right="0.23611111111111099" top="0.74791666666666701" bottom="0.74861111111111101" header="0.511811023622047" footer="0.31527777777777799"/>
  <pageSetup paperSize="8" orientation="landscape" horizontalDpi="300" verticalDpi="300"/>
  <headerFooter>
    <oddFooter>&amp;C&amp;P/&amp;N</oddFooter>
  </headerFooter>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39"/>
  <sheetViews>
    <sheetView showGridLines="0" topLeftCell="A6" zoomScale="70" zoomScaleNormal="70" workbookViewId="0">
      <selection activeCell="H10" sqref="H10"/>
    </sheetView>
  </sheetViews>
  <sheetFormatPr defaultColWidth="9.33203125" defaultRowHeight="14.4" x14ac:dyDescent="0.3"/>
  <cols>
    <col min="1" max="1" width="1.44140625" customWidth="1"/>
    <col min="2" max="5" width="25.5546875" customWidth="1"/>
    <col min="6" max="6" width="35.44140625" customWidth="1"/>
    <col min="7" max="7" width="31" customWidth="1"/>
    <col min="8" max="8" width="25.5546875" customWidth="1"/>
    <col min="9" max="9" width="22.33203125" customWidth="1"/>
    <col min="10" max="10" width="23.6640625" style="56" customWidth="1"/>
    <col min="11" max="11" width="22.44140625" customWidth="1"/>
    <col min="12" max="12" width="21.33203125" customWidth="1"/>
    <col min="13" max="13" width="25.44140625" customWidth="1"/>
  </cols>
  <sheetData>
    <row r="1" spans="2:10" ht="18" customHeight="1" x14ac:dyDescent="0.35">
      <c r="B1" s="57"/>
    </row>
    <row r="3" spans="2:10" ht="21" customHeight="1" x14ac:dyDescent="0.3">
      <c r="B3" s="58" t="s">
        <v>462</v>
      </c>
    </row>
    <row r="4" spans="2:10" ht="15" customHeight="1" x14ac:dyDescent="0.3">
      <c r="B4" s="59">
        <v>5000000</v>
      </c>
    </row>
    <row r="5" spans="2:10" x14ac:dyDescent="0.3">
      <c r="B5" s="60" t="s">
        <v>463</v>
      </c>
      <c r="C5" s="61" t="s">
        <v>26</v>
      </c>
      <c r="D5" s="61" t="s">
        <v>27</v>
      </c>
      <c r="E5" s="61" t="s">
        <v>28</v>
      </c>
      <c r="F5" s="61" t="s">
        <v>29</v>
      </c>
      <c r="G5" s="61" t="s">
        <v>30</v>
      </c>
      <c r="H5" s="61" t="s">
        <v>31</v>
      </c>
      <c r="I5" s="62" t="s">
        <v>464</v>
      </c>
      <c r="J5" s="63" t="s">
        <v>48</v>
      </c>
    </row>
    <row r="6" spans="2:10" ht="18" customHeight="1" x14ac:dyDescent="0.3">
      <c r="B6" s="64">
        <v>0</v>
      </c>
      <c r="C6" s="65">
        <v>0</v>
      </c>
      <c r="D6" s="66" t="s">
        <v>465</v>
      </c>
      <c r="E6" s="66" t="s">
        <v>465</v>
      </c>
      <c r="F6" s="67" t="s">
        <v>465</v>
      </c>
      <c r="G6" s="67" t="s">
        <v>465</v>
      </c>
      <c r="H6" s="67" t="s">
        <v>465</v>
      </c>
      <c r="I6" s="68">
        <v>0</v>
      </c>
      <c r="J6" s="69">
        <v>0</v>
      </c>
    </row>
    <row r="7" spans="2:10" ht="36" customHeight="1" x14ac:dyDescent="0.3">
      <c r="B7" s="70">
        <v>1</v>
      </c>
      <c r="C7" s="71" t="s">
        <v>466</v>
      </c>
      <c r="D7" s="71" t="s">
        <v>467</v>
      </c>
      <c r="E7" s="71" t="s">
        <v>468</v>
      </c>
      <c r="F7" s="72" t="s">
        <v>469</v>
      </c>
      <c r="G7" s="72" t="s">
        <v>470</v>
      </c>
      <c r="H7" s="72" t="s">
        <v>471</v>
      </c>
      <c r="I7" s="73">
        <v>0.05</v>
      </c>
      <c r="J7" s="74">
        <v>2500</v>
      </c>
    </row>
    <row r="8" spans="2:10" ht="54" customHeight="1" x14ac:dyDescent="0.3">
      <c r="B8" s="64">
        <v>2</v>
      </c>
      <c r="C8" s="66" t="s">
        <v>472</v>
      </c>
      <c r="D8" s="66" t="s">
        <v>473</v>
      </c>
      <c r="E8" s="66" t="s">
        <v>474</v>
      </c>
      <c r="F8" s="67" t="s">
        <v>475</v>
      </c>
      <c r="G8" s="67" t="s">
        <v>476</v>
      </c>
      <c r="H8" s="67" t="s">
        <v>477</v>
      </c>
      <c r="I8" s="65">
        <v>0.1</v>
      </c>
      <c r="J8" s="69">
        <v>7500</v>
      </c>
    </row>
    <row r="9" spans="2:10" ht="54" customHeight="1" x14ac:dyDescent="0.3">
      <c r="B9" s="70">
        <v>3</v>
      </c>
      <c r="C9" s="71" t="s">
        <v>478</v>
      </c>
      <c r="D9" s="71" t="s">
        <v>479</v>
      </c>
      <c r="E9" s="71" t="s">
        <v>480</v>
      </c>
      <c r="F9" s="72" t="s">
        <v>481</v>
      </c>
      <c r="G9" s="72" t="s">
        <v>482</v>
      </c>
      <c r="H9" s="72" t="s">
        <v>483</v>
      </c>
      <c r="I9" s="73">
        <v>0.2</v>
      </c>
      <c r="J9" s="74">
        <v>17500</v>
      </c>
    </row>
    <row r="10" spans="2:10" ht="74.25" customHeight="1" x14ac:dyDescent="0.3">
      <c r="B10" s="64">
        <v>4</v>
      </c>
      <c r="C10" s="66" t="s">
        <v>484</v>
      </c>
      <c r="D10" s="66" t="s">
        <v>485</v>
      </c>
      <c r="E10" s="66" t="s">
        <v>486</v>
      </c>
      <c r="F10" s="67" t="s">
        <v>487</v>
      </c>
      <c r="G10" s="67" t="s">
        <v>488</v>
      </c>
      <c r="H10" s="67" t="s">
        <v>489</v>
      </c>
      <c r="I10" s="65">
        <v>0.3</v>
      </c>
      <c r="J10" s="69">
        <v>37500</v>
      </c>
    </row>
    <row r="11" spans="2:10" ht="96.75" customHeight="1" x14ac:dyDescent="0.3">
      <c r="B11" s="70">
        <v>5</v>
      </c>
      <c r="C11" s="71" t="s">
        <v>490</v>
      </c>
      <c r="D11" s="71" t="s">
        <v>491</v>
      </c>
      <c r="E11" s="71" t="s">
        <v>492</v>
      </c>
      <c r="F11" s="72" t="s">
        <v>493</v>
      </c>
      <c r="G11" s="72" t="s">
        <v>494</v>
      </c>
      <c r="H11" s="72" t="s">
        <v>495</v>
      </c>
      <c r="I11" s="73">
        <v>0.4</v>
      </c>
      <c r="J11" s="74">
        <v>67500</v>
      </c>
    </row>
    <row r="12" spans="2:10" ht="77.25" customHeight="1" x14ac:dyDescent="0.3">
      <c r="B12" s="64">
        <v>6</v>
      </c>
      <c r="C12" s="66" t="s">
        <v>496</v>
      </c>
      <c r="D12" s="66" t="s">
        <v>497</v>
      </c>
      <c r="E12" s="66" t="s">
        <v>498</v>
      </c>
      <c r="F12" s="67" t="s">
        <v>499</v>
      </c>
      <c r="G12" s="67" t="s">
        <v>500</v>
      </c>
      <c r="H12" s="67" t="s">
        <v>501</v>
      </c>
      <c r="I12" s="65">
        <v>0.5</v>
      </c>
      <c r="J12" s="69">
        <v>87500</v>
      </c>
    </row>
    <row r="13" spans="2:10" ht="54" customHeight="1" x14ac:dyDescent="0.3">
      <c r="B13" s="75">
        <v>7</v>
      </c>
      <c r="C13" s="76" t="s">
        <v>502</v>
      </c>
      <c r="D13" s="76" t="s">
        <v>503</v>
      </c>
      <c r="E13" s="76" t="s">
        <v>504</v>
      </c>
      <c r="F13" s="77" t="s">
        <v>505</v>
      </c>
      <c r="G13" s="77" t="s">
        <v>506</v>
      </c>
      <c r="H13" s="77" t="s">
        <v>507</v>
      </c>
      <c r="I13" s="78">
        <v>0.7</v>
      </c>
      <c r="J13" s="79">
        <v>100000</v>
      </c>
    </row>
    <row r="16" spans="2:10" ht="21" customHeight="1" x14ac:dyDescent="0.3">
      <c r="B16" s="58" t="s">
        <v>508</v>
      </c>
    </row>
    <row r="17" spans="2:10" ht="15" customHeight="1" x14ac:dyDescent="0.3">
      <c r="B17" s="80" t="s">
        <v>509</v>
      </c>
    </row>
    <row r="18" spans="2:10" x14ac:dyDescent="0.3">
      <c r="B18" s="60" t="s">
        <v>463</v>
      </c>
      <c r="C18" s="61" t="s">
        <v>26</v>
      </c>
      <c r="D18" s="61" t="s">
        <v>27</v>
      </c>
      <c r="E18" s="61" t="s">
        <v>28</v>
      </c>
      <c r="F18" s="61" t="s">
        <v>29</v>
      </c>
      <c r="G18" s="61" t="s">
        <v>30</v>
      </c>
      <c r="H18" s="61" t="s">
        <v>31</v>
      </c>
      <c r="I18" s="62" t="s">
        <v>464</v>
      </c>
      <c r="J18" s="63" t="s">
        <v>48</v>
      </c>
    </row>
    <row r="19" spans="2:10" ht="18" customHeight="1" x14ac:dyDescent="0.3">
      <c r="B19" s="81">
        <v>0</v>
      </c>
      <c r="C19" s="65">
        <v>0</v>
      </c>
      <c r="D19" s="66" t="s">
        <v>465</v>
      </c>
      <c r="E19" s="66" t="s">
        <v>465</v>
      </c>
      <c r="F19" s="66" t="s">
        <v>465</v>
      </c>
      <c r="G19" s="66" t="s">
        <v>465</v>
      </c>
      <c r="H19" s="66" t="s">
        <v>465</v>
      </c>
      <c r="I19" s="65">
        <v>0</v>
      </c>
      <c r="J19" s="82">
        <v>0</v>
      </c>
    </row>
    <row r="20" spans="2:10" ht="36" customHeight="1" x14ac:dyDescent="0.3">
      <c r="B20" s="83">
        <v>1</v>
      </c>
      <c r="C20" s="71" t="s">
        <v>466</v>
      </c>
      <c r="D20" s="71" t="s">
        <v>510</v>
      </c>
      <c r="E20" s="71" t="s">
        <v>511</v>
      </c>
      <c r="F20" s="72" t="s">
        <v>469</v>
      </c>
      <c r="G20" s="72" t="s">
        <v>470</v>
      </c>
      <c r="H20" s="72" t="s">
        <v>471</v>
      </c>
      <c r="I20" s="73">
        <v>0.05</v>
      </c>
      <c r="J20" s="84">
        <v>5000</v>
      </c>
    </row>
    <row r="21" spans="2:10" ht="54" customHeight="1" x14ac:dyDescent="0.3">
      <c r="B21" s="81">
        <v>2</v>
      </c>
      <c r="C21" s="66" t="s">
        <v>472</v>
      </c>
      <c r="D21" s="66" t="s">
        <v>479</v>
      </c>
      <c r="E21" s="66" t="s">
        <v>512</v>
      </c>
      <c r="F21" s="67" t="s">
        <v>475</v>
      </c>
      <c r="G21" s="67" t="s">
        <v>476</v>
      </c>
      <c r="H21" s="67" t="s">
        <v>477</v>
      </c>
      <c r="I21" s="65">
        <v>0.1</v>
      </c>
      <c r="J21" s="82">
        <v>17500</v>
      </c>
    </row>
    <row r="22" spans="2:10" ht="54" customHeight="1" x14ac:dyDescent="0.3">
      <c r="B22" s="83">
        <v>3</v>
      </c>
      <c r="C22" s="71" t="s">
        <v>478</v>
      </c>
      <c r="D22" s="71" t="s">
        <v>485</v>
      </c>
      <c r="E22" s="71" t="s">
        <v>513</v>
      </c>
      <c r="F22" s="72" t="s">
        <v>481</v>
      </c>
      <c r="G22" s="72" t="s">
        <v>482</v>
      </c>
      <c r="H22" s="72" t="s">
        <v>483</v>
      </c>
      <c r="I22" s="73">
        <v>0.2</v>
      </c>
      <c r="J22" s="84">
        <v>62500</v>
      </c>
    </row>
    <row r="23" spans="2:10" ht="54" customHeight="1" x14ac:dyDescent="0.3">
      <c r="B23" s="81">
        <v>4</v>
      </c>
      <c r="C23" s="66" t="s">
        <v>484</v>
      </c>
      <c r="D23" s="66" t="s">
        <v>514</v>
      </c>
      <c r="E23" s="66" t="s">
        <v>515</v>
      </c>
      <c r="F23" s="67" t="s">
        <v>487</v>
      </c>
      <c r="G23" s="67" t="s">
        <v>488</v>
      </c>
      <c r="H23" s="67" t="s">
        <v>489</v>
      </c>
      <c r="I23" s="65">
        <v>0.3</v>
      </c>
      <c r="J23" s="82">
        <v>125000</v>
      </c>
    </row>
    <row r="24" spans="2:10" ht="72" customHeight="1" x14ac:dyDescent="0.3">
      <c r="B24" s="83">
        <v>5</v>
      </c>
      <c r="C24" s="71" t="s">
        <v>490</v>
      </c>
      <c r="D24" s="71" t="s">
        <v>516</v>
      </c>
      <c r="E24" s="71" t="s">
        <v>517</v>
      </c>
      <c r="F24" s="72" t="s">
        <v>493</v>
      </c>
      <c r="G24" s="72" t="s">
        <v>494</v>
      </c>
      <c r="H24" s="72" t="s">
        <v>495</v>
      </c>
      <c r="I24" s="73">
        <v>0.4</v>
      </c>
      <c r="J24" s="84">
        <v>187500</v>
      </c>
    </row>
    <row r="25" spans="2:10" ht="54" customHeight="1" x14ac:dyDescent="0.3">
      <c r="B25" s="81">
        <v>6</v>
      </c>
      <c r="C25" s="66" t="s">
        <v>496</v>
      </c>
      <c r="D25" s="66" t="s">
        <v>518</v>
      </c>
      <c r="E25" s="66" t="s">
        <v>519</v>
      </c>
      <c r="F25" s="67" t="s">
        <v>499</v>
      </c>
      <c r="G25" s="67" t="s">
        <v>500</v>
      </c>
      <c r="H25" s="67" t="s">
        <v>501</v>
      </c>
      <c r="I25" s="65">
        <v>0.5</v>
      </c>
      <c r="J25" s="82">
        <v>262500</v>
      </c>
    </row>
    <row r="26" spans="2:10" ht="54" customHeight="1" x14ac:dyDescent="0.3">
      <c r="B26" s="85">
        <v>7</v>
      </c>
      <c r="C26" s="86" t="s">
        <v>502</v>
      </c>
      <c r="D26" s="86" t="s">
        <v>520</v>
      </c>
      <c r="E26" s="86" t="s">
        <v>521</v>
      </c>
      <c r="F26" s="87" t="s">
        <v>505</v>
      </c>
      <c r="G26" s="87" t="s">
        <v>506</v>
      </c>
      <c r="H26" s="87" t="s">
        <v>507</v>
      </c>
      <c r="I26" s="88">
        <v>0.7</v>
      </c>
      <c r="J26" s="89">
        <v>300000</v>
      </c>
    </row>
    <row r="29" spans="2:10" ht="21" customHeight="1" x14ac:dyDescent="0.3">
      <c r="B29" s="58" t="s">
        <v>522</v>
      </c>
    </row>
    <row r="30" spans="2:10" ht="15" customHeight="1" x14ac:dyDescent="0.3">
      <c r="B30" s="59">
        <v>12000000</v>
      </c>
    </row>
    <row r="31" spans="2:10" x14ac:dyDescent="0.3">
      <c r="B31" s="60" t="s">
        <v>463</v>
      </c>
      <c r="C31" s="61" t="s">
        <v>26</v>
      </c>
      <c r="D31" s="61" t="s">
        <v>27</v>
      </c>
      <c r="E31" s="61" t="s">
        <v>28</v>
      </c>
      <c r="F31" s="61" t="s">
        <v>29</v>
      </c>
      <c r="G31" s="61" t="s">
        <v>30</v>
      </c>
      <c r="H31" s="61" t="s">
        <v>31</v>
      </c>
      <c r="I31" s="62" t="s">
        <v>464</v>
      </c>
      <c r="J31" s="63" t="s">
        <v>48</v>
      </c>
    </row>
    <row r="32" spans="2:10" ht="18" customHeight="1" x14ac:dyDescent="0.3">
      <c r="B32" s="64">
        <v>0</v>
      </c>
      <c r="C32" s="65">
        <v>0</v>
      </c>
      <c r="D32" s="66" t="s">
        <v>465</v>
      </c>
      <c r="E32" s="66" t="s">
        <v>465</v>
      </c>
      <c r="F32" s="67" t="s">
        <v>465</v>
      </c>
      <c r="G32" s="67" t="s">
        <v>465</v>
      </c>
      <c r="H32" s="67" t="s">
        <v>465</v>
      </c>
      <c r="I32" s="68">
        <v>0</v>
      </c>
      <c r="J32" s="69">
        <v>0</v>
      </c>
    </row>
    <row r="33" spans="2:10" ht="36" customHeight="1" x14ac:dyDescent="0.3">
      <c r="B33" s="70">
        <v>1</v>
      </c>
      <c r="C33" s="71" t="s">
        <v>466</v>
      </c>
      <c r="D33" s="71" t="s">
        <v>510</v>
      </c>
      <c r="E33" s="71" t="s">
        <v>523</v>
      </c>
      <c r="F33" s="72" t="s">
        <v>469</v>
      </c>
      <c r="G33" s="72" t="s">
        <v>470</v>
      </c>
      <c r="H33" s="72" t="s">
        <v>471</v>
      </c>
      <c r="I33" s="73">
        <v>0.05</v>
      </c>
      <c r="J33" s="74">
        <v>10000</v>
      </c>
    </row>
    <row r="34" spans="2:10" ht="54" customHeight="1" x14ac:dyDescent="0.3">
      <c r="B34" s="64">
        <v>2</v>
      </c>
      <c r="C34" s="66" t="s">
        <v>472</v>
      </c>
      <c r="D34" s="66" t="s">
        <v>524</v>
      </c>
      <c r="E34" s="66" t="s">
        <v>525</v>
      </c>
      <c r="F34" s="67" t="s">
        <v>475</v>
      </c>
      <c r="G34" s="67" t="s">
        <v>476</v>
      </c>
      <c r="H34" s="67" t="s">
        <v>477</v>
      </c>
      <c r="I34" s="65">
        <v>0.1</v>
      </c>
      <c r="J34" s="69">
        <v>37500</v>
      </c>
    </row>
    <row r="35" spans="2:10" ht="54" customHeight="1" x14ac:dyDescent="0.3">
      <c r="B35" s="70">
        <v>3</v>
      </c>
      <c r="C35" s="71" t="s">
        <v>478</v>
      </c>
      <c r="D35" s="71" t="s">
        <v>514</v>
      </c>
      <c r="E35" s="71" t="s">
        <v>526</v>
      </c>
      <c r="F35" s="72" t="s">
        <v>481</v>
      </c>
      <c r="G35" s="72" t="s">
        <v>482</v>
      </c>
      <c r="H35" s="72" t="s">
        <v>483</v>
      </c>
      <c r="I35" s="73">
        <v>0.2</v>
      </c>
      <c r="J35" s="74">
        <v>100000</v>
      </c>
    </row>
    <row r="36" spans="2:10" ht="54" customHeight="1" x14ac:dyDescent="0.3">
      <c r="B36" s="64">
        <v>4</v>
      </c>
      <c r="C36" s="66" t="s">
        <v>484</v>
      </c>
      <c r="D36" s="66" t="s">
        <v>516</v>
      </c>
      <c r="E36" s="66" t="s">
        <v>527</v>
      </c>
      <c r="F36" s="67" t="s">
        <v>487</v>
      </c>
      <c r="G36" s="67" t="s">
        <v>488</v>
      </c>
      <c r="H36" s="67" t="s">
        <v>489</v>
      </c>
      <c r="I36" s="65">
        <v>0.3</v>
      </c>
      <c r="J36" s="69">
        <v>200000</v>
      </c>
    </row>
    <row r="37" spans="2:10" ht="72" customHeight="1" x14ac:dyDescent="0.3">
      <c r="B37" s="70">
        <v>5</v>
      </c>
      <c r="C37" s="71" t="s">
        <v>490</v>
      </c>
      <c r="D37" s="71" t="s">
        <v>518</v>
      </c>
      <c r="E37" s="71" t="s">
        <v>528</v>
      </c>
      <c r="F37" s="72" t="s">
        <v>493</v>
      </c>
      <c r="G37" s="72" t="s">
        <v>494</v>
      </c>
      <c r="H37" s="72" t="s">
        <v>495</v>
      </c>
      <c r="I37" s="73">
        <v>0.4</v>
      </c>
      <c r="J37" s="74">
        <v>312500</v>
      </c>
    </row>
    <row r="38" spans="2:10" ht="54" customHeight="1" x14ac:dyDescent="0.3">
      <c r="B38" s="64">
        <v>6</v>
      </c>
      <c r="C38" s="66" t="s">
        <v>496</v>
      </c>
      <c r="D38" s="66" t="s">
        <v>529</v>
      </c>
      <c r="E38" s="66" t="s">
        <v>530</v>
      </c>
      <c r="F38" s="67" t="s">
        <v>499</v>
      </c>
      <c r="G38" s="67" t="s">
        <v>500</v>
      </c>
      <c r="H38" s="67" t="s">
        <v>501</v>
      </c>
      <c r="I38" s="65">
        <v>0.5</v>
      </c>
      <c r="J38" s="69">
        <v>437500</v>
      </c>
    </row>
    <row r="39" spans="2:10" ht="54" customHeight="1" x14ac:dyDescent="0.3">
      <c r="B39" s="75">
        <v>7</v>
      </c>
      <c r="C39" s="76" t="s">
        <v>502</v>
      </c>
      <c r="D39" s="76" t="s">
        <v>531</v>
      </c>
      <c r="E39" s="76" t="s">
        <v>532</v>
      </c>
      <c r="F39" s="77" t="s">
        <v>505</v>
      </c>
      <c r="G39" s="77" t="s">
        <v>506</v>
      </c>
      <c r="H39" s="77" t="s">
        <v>507</v>
      </c>
      <c r="I39" s="78">
        <v>0.7</v>
      </c>
      <c r="J39" s="79">
        <v>500000</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10"/>
  <sheetViews>
    <sheetView zoomScaleNormal="100" workbookViewId="0">
      <selection activeCell="C7" sqref="C7"/>
    </sheetView>
  </sheetViews>
  <sheetFormatPr defaultColWidth="8.6640625" defaultRowHeight="14.4" x14ac:dyDescent="0.3"/>
  <cols>
    <col min="1" max="3" width="11.6640625" customWidth="1"/>
    <col min="4" max="4" width="27.6640625" customWidth="1"/>
  </cols>
  <sheetData>
    <row r="4" spans="1:4" x14ac:dyDescent="0.3">
      <c r="A4" s="90" t="s">
        <v>533</v>
      </c>
      <c r="B4" s="90" t="s">
        <v>25</v>
      </c>
      <c r="C4" s="90" t="s">
        <v>24</v>
      </c>
      <c r="D4" s="90" t="s">
        <v>534</v>
      </c>
    </row>
    <row r="5" spans="1:4" x14ac:dyDescent="0.3">
      <c r="A5" s="91" t="s">
        <v>535</v>
      </c>
      <c r="B5" s="91" t="s">
        <v>7</v>
      </c>
      <c r="C5" s="91" t="s">
        <v>7</v>
      </c>
      <c r="D5" s="92" t="s">
        <v>536</v>
      </c>
    </row>
    <row r="6" spans="1:4" x14ac:dyDescent="0.3">
      <c r="A6" s="91" t="s">
        <v>76</v>
      </c>
      <c r="B6" s="91" t="s">
        <v>8</v>
      </c>
      <c r="C6" s="91" t="s">
        <v>64</v>
      </c>
    </row>
    <row r="7" spans="1:4" x14ac:dyDescent="0.3">
      <c r="A7" s="91" t="s">
        <v>54</v>
      </c>
      <c r="B7" s="91" t="s">
        <v>278</v>
      </c>
      <c r="C7" s="91" t="s">
        <v>55</v>
      </c>
    </row>
    <row r="8" spans="1:4" x14ac:dyDescent="0.3">
      <c r="A8" s="91" t="s">
        <v>82</v>
      </c>
      <c r="B8" s="91"/>
      <c r="C8" s="91"/>
    </row>
    <row r="9" spans="1:4" x14ac:dyDescent="0.3">
      <c r="A9" s="91" t="s">
        <v>62</v>
      </c>
      <c r="B9" s="91"/>
      <c r="C9" s="91"/>
    </row>
    <row r="10" spans="1:4" x14ac:dyDescent="0.3">
      <c r="A10" s="91" t="s">
        <v>537</v>
      </c>
      <c r="B10" s="91"/>
      <c r="C10" s="91"/>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9"/>
  <sheetViews>
    <sheetView zoomScaleNormal="100" workbookViewId="0">
      <selection activeCell="B12" sqref="B12"/>
    </sheetView>
  </sheetViews>
  <sheetFormatPr defaultColWidth="8.6640625" defaultRowHeight="14.4" x14ac:dyDescent="0.3"/>
  <cols>
    <col min="1" max="1" width="23.33203125" customWidth="1"/>
    <col min="2" max="2" width="116" customWidth="1"/>
  </cols>
  <sheetData>
    <row r="1" spans="1:2" x14ac:dyDescent="0.3">
      <c r="A1" t="s">
        <v>538</v>
      </c>
    </row>
    <row r="4" spans="1:2" x14ac:dyDescent="0.3">
      <c r="A4" s="146" t="s">
        <v>539</v>
      </c>
      <c r="B4" s="146"/>
    </row>
    <row r="5" spans="1:2" x14ac:dyDescent="0.3">
      <c r="A5" s="93" t="s">
        <v>540</v>
      </c>
      <c r="B5" s="94" t="s">
        <v>541</v>
      </c>
    </row>
    <row r="6" spans="1:2" x14ac:dyDescent="0.3">
      <c r="A6" s="93" t="s">
        <v>539</v>
      </c>
      <c r="B6" s="94" t="s">
        <v>542</v>
      </c>
    </row>
    <row r="7" spans="1:2" x14ac:dyDescent="0.3">
      <c r="A7" s="93" t="s">
        <v>543</v>
      </c>
      <c r="B7" s="94" t="s">
        <v>544</v>
      </c>
    </row>
    <row r="8" spans="1:2" x14ac:dyDescent="0.3">
      <c r="A8" s="93" t="s">
        <v>545</v>
      </c>
      <c r="B8" s="94" t="s">
        <v>546</v>
      </c>
    </row>
    <row r="9" spans="1:2" x14ac:dyDescent="0.3">
      <c r="A9" s="93" t="s">
        <v>39</v>
      </c>
      <c r="B9" s="94" t="s">
        <v>547</v>
      </c>
    </row>
    <row r="10" spans="1:2" x14ac:dyDescent="0.3">
      <c r="A10" s="147" t="s">
        <v>38</v>
      </c>
      <c r="B10" s="94" t="s">
        <v>548</v>
      </c>
    </row>
    <row r="11" spans="1:2" x14ac:dyDescent="0.3">
      <c r="A11" s="147"/>
      <c r="B11" s="94" t="s">
        <v>549</v>
      </c>
    </row>
    <row r="12" spans="1:2" x14ac:dyDescent="0.3">
      <c r="A12" s="147"/>
      <c r="B12" s="94" t="s">
        <v>550</v>
      </c>
    </row>
    <row r="13" spans="1:2" x14ac:dyDescent="0.3">
      <c r="A13" s="147"/>
      <c r="B13" s="94" t="s">
        <v>551</v>
      </c>
    </row>
    <row r="14" spans="1:2" x14ac:dyDescent="0.3">
      <c r="A14" s="147"/>
      <c r="B14" s="94" t="s">
        <v>552</v>
      </c>
    </row>
    <row r="15" spans="1:2" x14ac:dyDescent="0.3">
      <c r="A15" s="147"/>
      <c r="B15" s="94" t="s">
        <v>553</v>
      </c>
    </row>
    <row r="16" spans="1:2" x14ac:dyDescent="0.3">
      <c r="A16" s="93" t="s">
        <v>23</v>
      </c>
      <c r="B16" s="94" t="s">
        <v>554</v>
      </c>
    </row>
    <row r="17" spans="1:2" x14ac:dyDescent="0.3">
      <c r="A17" s="93" t="s">
        <v>24</v>
      </c>
      <c r="B17" s="94" t="s">
        <v>555</v>
      </c>
    </row>
    <row r="18" spans="1:2" x14ac:dyDescent="0.3">
      <c r="A18" s="93" t="s">
        <v>556</v>
      </c>
      <c r="B18" s="94" t="s">
        <v>557</v>
      </c>
    </row>
    <row r="20" spans="1:2" x14ac:dyDescent="0.3">
      <c r="A20" s="146" t="s">
        <v>558</v>
      </c>
      <c r="B20" s="146"/>
    </row>
    <row r="21" spans="1:2" ht="28.5" customHeight="1" x14ac:dyDescent="0.3">
      <c r="A21" s="1" t="s">
        <v>559</v>
      </c>
      <c r="B21" s="95" t="s">
        <v>560</v>
      </c>
    </row>
    <row r="22" spans="1:2" x14ac:dyDescent="0.3">
      <c r="A22" s="93" t="s">
        <v>37</v>
      </c>
      <c r="B22" s="94" t="s">
        <v>561</v>
      </c>
    </row>
    <row r="23" spans="1:2" ht="28.5" customHeight="1" x14ac:dyDescent="0.3">
      <c r="A23" s="93" t="s">
        <v>562</v>
      </c>
      <c r="B23" s="95" t="s">
        <v>563</v>
      </c>
    </row>
    <row r="24" spans="1:2" x14ac:dyDescent="0.3">
      <c r="A24" s="93" t="s">
        <v>564</v>
      </c>
      <c r="B24" s="94" t="s">
        <v>565</v>
      </c>
    </row>
    <row r="26" spans="1:2" x14ac:dyDescent="0.3">
      <c r="A26" s="146" t="s">
        <v>566</v>
      </c>
      <c r="B26" s="146"/>
    </row>
    <row r="27" spans="1:2" x14ac:dyDescent="0.3">
      <c r="A27" s="93" t="s">
        <v>567</v>
      </c>
      <c r="B27" s="94" t="s">
        <v>568</v>
      </c>
    </row>
    <row r="28" spans="1:2" x14ac:dyDescent="0.3">
      <c r="A28" s="93" t="s">
        <v>569</v>
      </c>
      <c r="B28" s="95" t="s">
        <v>509</v>
      </c>
    </row>
    <row r="29" spans="1:2" x14ac:dyDescent="0.3">
      <c r="A29" s="93" t="s">
        <v>570</v>
      </c>
      <c r="B29" s="94" t="s">
        <v>571</v>
      </c>
    </row>
  </sheetData>
  <mergeCells count="4">
    <mergeCell ref="A4:B4"/>
    <mergeCell ref="A10:A15"/>
    <mergeCell ref="A20:B20"/>
    <mergeCell ref="A26:B26"/>
  </mergeCells>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9211E4F5870D74D8915223E3B534F59" ma:contentTypeVersion="32" ma:contentTypeDescription="Een nieuw document maken." ma:contentTypeScope="" ma:versionID="69b4208ab194e2e45a7e5089587197cc">
  <xsd:schema xmlns:xsd="http://www.w3.org/2001/XMLSchema" xmlns:xs="http://www.w3.org/2001/XMLSchema" xmlns:p="http://schemas.microsoft.com/office/2006/metadata/properties" xmlns:ns2="ced20ab0-bc45-40bc-83b5-dcb0f2945513" xmlns:ns3="d683ca02-dd62-4834-b1de-7f6ae9a722e1" targetNamespace="http://schemas.microsoft.com/office/2006/metadata/properties" ma:root="true" ma:fieldsID="ad4de67a4415a3eb19c0f1356d87f67b" ns2:_="" ns3:_="">
    <xsd:import namespace="ced20ab0-bc45-40bc-83b5-dcb0f2945513"/>
    <xsd:import namespace="d683ca02-dd62-4834-b1de-7f6ae9a722e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SearchProperties" minOccurs="0"/>
                <xsd:element ref="ns3:MediaServiceDateTaken" minOccurs="0"/>
                <xsd:element ref="ns3:MediaServiceLocation" minOccurs="0"/>
                <xsd:element ref="ns3:MediaLengthInSeconds" minOccurs="0"/>
                <xsd:element ref="ns3:Persoon" minOccurs="0"/>
                <xsd:element ref="ns3:MediaServiceBillingMetadata" minOccurs="0"/>
                <xsd:element ref="ns3:_ApprovalAssignedTo" minOccurs="0"/>
                <xsd:element ref="ns3:_ApprovalRespondedBy" minOccurs="0"/>
                <xsd:element ref="ns3:_ApprovalSentBy" minOccurs="0"/>
                <xsd:element ref="ns3:_ApprovalStatus" minOccurs="0"/>
                <xsd:element ref="ns3:_Flow_SignoffStatus" minOccurs="0"/>
                <xsd:element ref="ns3:Hyperlink" minOccurs="0"/>
                <xsd:element ref="ns3:Locatie" minOccurs="0"/>
                <xsd:element ref="ns3:CountryOrRegion7dd6e2ef-def3-4a58-841b-956014e5d105" minOccurs="0"/>
                <xsd:element ref="ns3:State7dd6e2ef-def3-4a58-841b-956014e5d105" minOccurs="0"/>
                <xsd:element ref="ns3:City7dd6e2ef-def3-4a58-841b-956014e5d105" minOccurs="0"/>
                <xsd:element ref="ns3:PostalCode7dd6e2ef-def3-4a58-841b-956014e5d105" minOccurs="0"/>
                <xsd:element ref="ns3:Street7dd6e2ef-def3-4a58-841b-956014e5d105" minOccurs="0"/>
                <xsd:element ref="ns3:GeoLoc7dd6e2ef-def3-4a58-841b-956014e5d105" minOccurs="0"/>
                <xsd:element ref="ns3:DispName7dd6e2ef-def3-4a58-841b-956014e5d105"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d20ab0-bc45-40bc-83b5-dcb0f2945513" elementFormDefault="qualified">
    <xsd:import namespace="http://schemas.microsoft.com/office/2006/documentManagement/types"/>
    <xsd:import namespace="http://schemas.microsoft.com/office/infopath/2007/PartnerControls"/>
    <xsd:element name="SharedWithUsers" ma:index="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Gedeeld met details" ma:internalName="SharedWithDetails" ma:readOnly="true">
      <xsd:simpleType>
        <xsd:restriction base="dms:Note">
          <xsd:maxLength value="255"/>
        </xsd:restriction>
      </xsd:simpleType>
    </xsd:element>
    <xsd:element name="TaxCatchAll" ma:index="15" nillable="true" ma:displayName="Taxonomy Catch All Column" ma:hidden="true" ma:list="{eea6374e-5929-4964-804b-124042ffbe59}" ma:internalName="TaxCatchAll" ma:showField="CatchAllData" ma:web="ced20ab0-bc45-40bc-83b5-dcb0f29455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683ca02-dd62-4834-b1de-7f6ae9a722e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Afbeeldingtags" ma:readOnly="false" ma:fieldId="{5cf76f15-5ced-4ddc-b409-7134ff3c332f}" ma:taxonomyMulti="true" ma:sspId="d1e2193a-48cf-431a-9b94-5e639c678e42"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Persoon" ma:index="23" nillable="true" ma:displayName="Persoon" ma:format="Dropdown" ma:list="UserInfo" ma:SharePointGroup="0" ma:internalName="Persoon">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BillingMetadata" ma:index="24" nillable="true" ma:displayName="MediaServiceBillingMetadata" ma:hidden="true" ma:internalName="MediaServiceBillingMetadata" ma:readOnly="true">
      <xsd:simpleType>
        <xsd:restriction base="dms:Note"/>
      </xsd:simpleType>
    </xsd:element>
    <xsd:element name="_ApprovalAssignedTo" ma:index="25" nillable="true" ma:displayName="Goedkeurders"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26" nillable="true" ma:displayName="Antwoorden"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27" nillable="true" ma:displayName="Goedkeuring auteur"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28" nillable="true" ma:displayName="Goedkeuringsstatus" ma:internalName="_ApprovalStatus" ma:readOnly="true">
      <xsd:simpleType>
        <xsd:restriction base="dms:Unknown"/>
      </xsd:simpleType>
    </xsd:element>
    <xsd:element name="_Flow_SignoffStatus" ma:index="29" nillable="true" ma:displayName="Afmeldingsstatus" ma:internalName="_x0024_Resources_x003a_core_x002c_Signoff_Status">
      <xsd:simpleType>
        <xsd:restriction base="dms:Text"/>
      </xsd:simpleType>
    </xsd:element>
    <xsd:element name="Hyperlink" ma:index="30" nillable="true" ma:displayName="Hyperlink" ma:format="Hyperlink" ma:internalName="Hyperlink">
      <xsd:complexType>
        <xsd:complexContent>
          <xsd:extension base="dms:URL">
            <xsd:sequence>
              <xsd:element name="Url" type="dms:ValidUrl" minOccurs="0" nillable="true"/>
              <xsd:element name="Description" type="xsd:string" nillable="true"/>
            </xsd:sequence>
          </xsd:extension>
        </xsd:complexContent>
      </xsd:complexType>
    </xsd:element>
    <xsd:element name="Locatie" ma:index="31" nillable="true" ma:displayName="Locatie" ma:format="Dropdown" ma:internalName="Locatie">
      <xsd:simpleType>
        <xsd:restriction base="dms:Unknown"/>
      </xsd:simpleType>
    </xsd:element>
    <xsd:element name="CountryOrRegion7dd6e2ef-def3-4a58-841b-956014e5d105" ma:index="32" nillable="true" ma:displayName="Locatie: land" ma:internalName="CountryOrRegion" ma:readOnly="true">
      <xsd:simpleType>
        <xsd:restriction base="dms:Text"/>
      </xsd:simpleType>
    </xsd:element>
    <xsd:element name="State7dd6e2ef-def3-4a58-841b-956014e5d105" ma:index="33" nillable="true" ma:displayName="Locatie: provincie" ma:internalName="State" ma:readOnly="true">
      <xsd:simpleType>
        <xsd:restriction base="dms:Text"/>
      </xsd:simpleType>
    </xsd:element>
    <xsd:element name="City7dd6e2ef-def3-4a58-841b-956014e5d105" ma:index="34" nillable="true" ma:displayName="Locatie: stad" ma:internalName="City" ma:readOnly="true">
      <xsd:simpleType>
        <xsd:restriction base="dms:Text"/>
      </xsd:simpleType>
    </xsd:element>
    <xsd:element name="PostalCode7dd6e2ef-def3-4a58-841b-956014e5d105" ma:index="35" nillable="true" ma:displayName="Locatie: postcode" ma:internalName="PostalCode" ma:readOnly="true">
      <xsd:simpleType>
        <xsd:restriction base="dms:Text"/>
      </xsd:simpleType>
    </xsd:element>
    <xsd:element name="Street7dd6e2ef-def3-4a58-841b-956014e5d105" ma:index="36" nillable="true" ma:displayName="Locatie: straat" ma:internalName="Street" ma:readOnly="true">
      <xsd:simpleType>
        <xsd:restriction base="dms:Text"/>
      </xsd:simpleType>
    </xsd:element>
    <xsd:element name="GeoLoc7dd6e2ef-def3-4a58-841b-956014e5d105" ma:index="37" nillable="true" ma:displayName="Locatie: coördinaten" ma:internalName="GeoLoc" ma:readOnly="true">
      <xsd:simpleType>
        <xsd:restriction base="dms:Unknown"/>
      </xsd:simpleType>
    </xsd:element>
    <xsd:element name="DispName7dd6e2ef-def3-4a58-841b-956014e5d105" ma:index="38" nillable="true" ma:displayName="Locatie: naam" ma:internalName="DispNam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pprovalAssignedTo xmlns="d683ca02-dd62-4834-b1de-7f6ae9a722e1">
      <UserInfo>
        <DisplayName/>
        <AccountId xsi:nil="true"/>
        <AccountType/>
      </UserInfo>
    </_ApprovalAssignedTo>
    <Persoon xmlns="d683ca02-dd62-4834-b1de-7f6ae9a722e1">
      <UserInfo>
        <DisplayName/>
        <AccountId xsi:nil="true"/>
        <AccountType/>
      </UserInfo>
    </Persoon>
    <Hyperlink xmlns="d683ca02-dd62-4834-b1de-7f6ae9a722e1">
      <Url xsi:nil="true"/>
      <Description xsi:nil="true"/>
    </Hyperlink>
    <_ApprovalStatus xmlns="d683ca02-dd62-4834-b1de-7f6ae9a722e1">0</_ApprovalStatus>
    <Locatie xmlns="d683ca02-dd62-4834-b1de-7f6ae9a722e1" xsi:nil="true"/>
    <_Flow_SignoffStatus xmlns="d683ca02-dd62-4834-b1de-7f6ae9a722e1" xsi:nil="true"/>
    <_ApprovalRespondedBy xmlns="d683ca02-dd62-4834-b1de-7f6ae9a722e1">
      <UserInfo>
        <DisplayName/>
        <AccountId xsi:nil="true"/>
        <AccountType/>
      </UserInfo>
    </_ApprovalRespondedBy>
    <lcf76f155ced4ddcb4097134ff3c332f xmlns="d683ca02-dd62-4834-b1de-7f6ae9a722e1">
      <Terms xmlns="http://schemas.microsoft.com/office/infopath/2007/PartnerControls"/>
    </lcf76f155ced4ddcb4097134ff3c332f>
    <TaxCatchAll xmlns="ced20ab0-bc45-40bc-83b5-dcb0f2945513" xsi:nil="true"/>
    <_ApprovalSentBy xmlns="d683ca02-dd62-4834-b1de-7f6ae9a722e1">
      <UserInfo>
        <DisplayName/>
        <AccountId xsi:nil="true"/>
        <AccountType/>
      </UserInfo>
    </_ApprovalSentBy>
  </documentManagement>
</p:properties>
</file>

<file path=customXml/itemProps1.xml><?xml version="1.0" encoding="utf-8"?>
<ds:datastoreItem xmlns:ds="http://schemas.openxmlformats.org/officeDocument/2006/customXml" ds:itemID="{4056B878-E24F-41DA-9055-D194309A75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d20ab0-bc45-40bc-83b5-dcb0f2945513"/>
    <ds:schemaRef ds:uri="d683ca02-dd62-4834-b1de-7f6ae9a722e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D9BD361-6B3A-40EC-8B1C-D7DD93DA7912}">
  <ds:schemaRefs>
    <ds:schemaRef ds:uri="http://schemas.microsoft.com/sharepoint/v3/contenttype/forms"/>
  </ds:schemaRefs>
</ds:datastoreItem>
</file>

<file path=customXml/itemProps3.xml><?xml version="1.0" encoding="utf-8"?>
<ds:datastoreItem xmlns:ds="http://schemas.openxmlformats.org/officeDocument/2006/customXml" ds:itemID="{63F8FBFC-754A-4A32-82C6-42136E2EE955}">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d683ca02-dd62-4834-b1de-7f6ae9a722e1"/>
    <ds:schemaRef ds:uri="ced20ab0-bc45-40bc-83b5-dcb0f2945513"/>
    <ds:schemaRef ds:uri="http://www.w3.org/XML/1998/namespace"/>
    <ds:schemaRef ds:uri="http://purl.org/dc/dcmitype/"/>
  </ds:schemaRefs>
</ds:datastoreItem>
</file>

<file path=docMetadata/LabelInfo.xml><?xml version="1.0" encoding="utf-8"?>
<clbl:labelList xmlns:clbl="http://schemas.microsoft.com/office/2020/mipLabelMetadata">
  <clbl:label id="{eea7d518-15bf-4e07-8342-71208871a965}" enabled="0" method="" siteId="{eea7d518-15bf-4e07-8342-71208871a965}" removed="1"/>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Werkbladen</vt:lpstr>
      </vt:variant>
      <vt:variant>
        <vt:i4>4</vt:i4>
      </vt:variant>
      <vt:variant>
        <vt:lpstr>Benoemde bereiken</vt:lpstr>
      </vt:variant>
      <vt:variant>
        <vt:i4>2</vt:i4>
      </vt:variant>
    </vt:vector>
  </HeadingPairs>
  <TitlesOfParts>
    <vt:vector size="6" baseType="lpstr">
      <vt:lpstr>RISICOREGISTER</vt:lpstr>
      <vt:lpstr>KWANTIFICEERTABELLEN</vt:lpstr>
      <vt:lpstr>LIJSTEN</vt:lpstr>
      <vt:lpstr>UITLEG</vt:lpstr>
      <vt:lpstr>RISICOREGISTER!Afdrukbereik</vt:lpstr>
      <vt:lpstr>RISICOREGISTER!Afdruktitels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Wouter Busstra</dc:creator>
  <dc:description/>
  <cp:lastModifiedBy>Wouter Busstra</cp:lastModifiedBy>
  <cp:revision>0</cp:revision>
  <dcterms:created xsi:type="dcterms:W3CDTF">2006-09-16T00:00:00Z</dcterms:created>
  <dcterms:modified xsi:type="dcterms:W3CDTF">2026-06-04T08:13:51Z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uthorIds_UIVersion_15">
    <vt:lpwstr>576</vt:lpwstr>
  </property>
  <property fmtid="{D5CDD505-2E9C-101B-9397-08002B2CF9AE}" pid="3" name="AuthorIds_UIVersion_9">
    <vt:lpwstr>576</vt:lpwstr>
  </property>
  <property fmtid="{D5CDD505-2E9C-101B-9397-08002B2CF9AE}" pid="4" name="ContentTypeId">
    <vt:lpwstr>0x010100E9211E4F5870D74D8915223E3B534F59</vt:lpwstr>
  </property>
  <property fmtid="{D5CDD505-2E9C-101B-9397-08002B2CF9AE}" pid="5" name="MediaServiceImageTags">
    <vt:lpwstr/>
  </property>
  <property fmtid="{D5CDD505-2E9C-101B-9397-08002B2CF9AE}" pid="6" name="Order">
    <vt:r8>177268400</vt:r8>
  </property>
  <property fmtid="{D5CDD505-2E9C-101B-9397-08002B2CF9AE}" pid="7" name="Sort">
    <vt:lpwstr/>
  </property>
  <property fmtid="{D5CDD505-2E9C-101B-9397-08002B2CF9AE}" pid="8" name="_ExtendedDescription">
    <vt:lpwstr/>
  </property>
  <property fmtid="{D5CDD505-2E9C-101B-9397-08002B2CF9AE}" pid="9" name="_dlc_DocIdItemGuid">
    <vt:lpwstr>cd9f8cc1-41d3-42e4-b0b0-43664cfa35cf</vt:lpwstr>
  </property>
</Properties>
</file>